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. Cover" sheetId="1" state="visible" r:id="rId1"/>
    <sheet xmlns:r="http://schemas.openxmlformats.org/officeDocument/2006/relationships" name="1. BOM Tree" sheetId="2" state="visible" r:id="rId2"/>
    <sheet xmlns:r="http://schemas.openxmlformats.org/officeDocument/2006/relationships" name="2. Common Blend" sheetId="3" state="visible" r:id="rId3"/>
    <sheet xmlns:r="http://schemas.openxmlformats.org/officeDocument/2006/relationships" name="3. Partner Mapping" sheetId="4" state="visible" r:id="rId4"/>
    <sheet xmlns:r="http://schemas.openxmlformats.org/officeDocument/2006/relationships" name="4. CMO Summary" sheetId="5" state="visible" r:id="rId5"/>
    <sheet xmlns:r="http://schemas.openxmlformats.org/officeDocument/2006/relationships" name="5. Supply Flow" sheetId="6" state="visible" r:id="rId6"/>
    <sheet xmlns:r="http://schemas.openxmlformats.org/officeDocument/2006/relationships" name="6. Plant &amp; Storage Location" sheetId="7" state="visible" r:id="rId7"/>
    <sheet xmlns:r="http://schemas.openxmlformats.org/officeDocument/2006/relationships" name="LEGACY_Codes" sheetId="8" state="visible" r:id="rId8"/>
    <sheet xmlns:r="http://schemas.openxmlformats.org/officeDocument/2006/relationships" name="DIM_CMO" sheetId="9" state="visible" r:id="rId9"/>
    <sheet xmlns:r="http://schemas.openxmlformats.org/officeDocument/2006/relationships" name="FACT_RSM_Price" sheetId="10" state="visible" r:id="rId10"/>
    <sheet xmlns:r="http://schemas.openxmlformats.org/officeDocument/2006/relationships" name="FACT_API_Price" sheetId="11" state="visible" r:id="rId11"/>
    <sheet xmlns:r="http://schemas.openxmlformats.org/officeDocument/2006/relationships" name="FACT_DP_Price" sheetId="12" state="visible" r:id="rId12"/>
    <sheet xmlns:r="http://schemas.openxmlformats.org/officeDocument/2006/relationships" name="FACT_SP_Price" sheetId="13" state="visible" r:id="rId13"/>
    <sheet xmlns:r="http://schemas.openxmlformats.org/officeDocument/2006/relationships" name="FACT_FP_Price" sheetId="14" state="visible" r:id="rId14"/>
    <sheet xmlns:r="http://schemas.openxmlformats.org/officeDocument/2006/relationships" name="FACT_Tariff" sheetId="15" state="visible" r:id="rId15"/>
    <sheet xmlns:r="http://schemas.openxmlformats.org/officeDocument/2006/relationships" name="FACT_IntroCost" sheetId="16" state="visible" r:id="rId16"/>
    <sheet xmlns:r="http://schemas.openxmlformats.org/officeDocument/2006/relationships" name="README_DB" sheetId="17" state="visible" r:id="rId17"/>
  </sheets>
  <definedNames>
    <definedName name="_xlnm._FilterDatabase" localSheetId="8" hidden="1">'DIM_CMO'!$A$1:$H$13</definedName>
    <definedName name="_xlnm._FilterDatabase" localSheetId="9" hidden="1">'FACT_RSM_Price'!$A$1:$J$11</definedName>
    <definedName name="_xlnm._FilterDatabase" localSheetId="10" hidden="1">'FACT_API_Price'!$A$1:$L$7</definedName>
    <definedName name="_xlnm._FilterDatabase" localSheetId="11" hidden="1">'FACT_DP_Price'!$A$1:$H$13</definedName>
    <definedName name="_xlnm._FilterDatabase" localSheetId="12" hidden="1">'FACT_SP_Price'!$A$1:$H$12</definedName>
    <definedName name="_xlnm._FilterDatabase" localSheetId="13" hidden="1">'FACT_FP_Price'!$A$1:$I$15</definedName>
    <definedName name="_xlnm._FilterDatabase" localSheetId="14" hidden="1">'FACT_Tariff'!$A$1:$K$27</definedName>
    <definedName name="_xlnm._FilterDatabase" localSheetId="15" hidden="1">'FACT_IntroCost'!$A$1:$L$7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"/>
  </numFmts>
  <fonts count="4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475569"/>
      <sz val="10"/>
    </font>
    <font>
      <name val="Noto Sans CJK SC"/>
      <family val="2"/>
      <i val="1"/>
      <color rgb="FF475569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F172A"/>
      <sz val="10"/>
    </font>
    <font>
      <name val="Arial"/>
      <charset val="1"/>
      <family val="0"/>
      <color rgb="FF334155"/>
      <sz val="10"/>
    </font>
    <font>
      <name val="Noto Sans CJK SC"/>
      <family val="2"/>
      <color rgb="FF334155"/>
      <sz val="10"/>
    </font>
    <font>
      <name val="Arial"/>
      <charset val="1"/>
      <family val="0"/>
      <b val="1"/>
      <color rgb="FF0E7490"/>
      <sz val="10"/>
    </font>
    <font>
      <name val="Noto Sans CJK SC"/>
      <family val="2"/>
      <i val="1"/>
      <color rgb="FF94A3B8"/>
      <sz val="9"/>
    </font>
    <font>
      <name val="Arial"/>
      <charset val="1"/>
      <family val="0"/>
      <i val="1"/>
      <color rgb="FF94A3B8"/>
      <sz val="9"/>
    </font>
    <font>
      <name val="Noto Sans CJK SC"/>
      <family val="2"/>
      <b val="1"/>
      <color rgb="FF0E749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334155"/>
      <sz val="9"/>
    </font>
    <font>
      <name val="Noto Sans CJK SC"/>
      <family val="2"/>
      <color rgb="FF334155"/>
      <sz val="9"/>
    </font>
    <font>
      <name val="Noto Sans CJK SC"/>
      <family val="2"/>
      <b val="1"/>
      <color rgb="FFFFFFFF"/>
      <sz val="9"/>
    </font>
    <font>
      <name val="Arial"/>
      <charset val="1"/>
      <family val="0"/>
      <b val="1"/>
      <color rgb="FF0F172A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4748B"/>
      <sz val="9"/>
    </font>
    <font>
      <name val="Noto Sans CJK SC"/>
      <family val="2"/>
      <i val="1"/>
      <color rgb="FF64748B"/>
      <sz val="9"/>
    </font>
    <font>
      <name val="Arial"/>
      <charset val="1"/>
      <family val="0"/>
      <b val="1"/>
      <color rgb="FF15803D"/>
      <sz val="9"/>
    </font>
    <font>
      <name val="Arial"/>
      <charset val="1"/>
      <family val="0"/>
      <b val="1"/>
      <color rgb="FFB91C1C"/>
      <sz val="9"/>
    </font>
    <font>
      <name val="Arial"/>
      <charset val="1"/>
      <family val="0"/>
      <b val="1"/>
      <color rgb="FFA16207"/>
      <sz val="9"/>
    </font>
    <font>
      <name val="Arial"/>
      <charset val="1"/>
      <family val="0"/>
      <b val="1"/>
      <color rgb="FFC2410C"/>
      <sz val="9"/>
    </font>
    <font>
      <name val="Noto Sans CJK SC"/>
      <family val="2"/>
      <b val="1"/>
      <color rgb="FF15803D"/>
      <sz val="9"/>
    </font>
    <font>
      <name val="Noto Sans CJK SC"/>
      <family val="2"/>
      <b val="1"/>
      <color rgb="FFFFFFFF"/>
      <sz val="13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color rgb="FF0F172A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F172A"/>
      <sz val="9"/>
    </font>
    <font>
      <name val="Arial"/>
      <color rgb="00334155"/>
      <sz val="9"/>
    </font>
    <font>
      <name val="Arial"/>
      <b val="1"/>
      <color rgb="0078350F"/>
      <sz val="10"/>
    </font>
    <font>
      <name val="Arial"/>
      <b val="1"/>
      <color rgb="FFFFFFFF"/>
      <sz val="18"/>
    </font>
    <font>
      <name val="Noto Sans CJK SC"/>
      <i val="1"/>
      <color rgb="FF94A3B8"/>
      <sz val="9"/>
    </font>
    <font>
      <b val="1"/>
    </font>
  </fonts>
  <fills count="14">
    <fill>
      <patternFill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2C5282"/>
        <bgColor rgb="FF475569"/>
      </patternFill>
    </fill>
    <fill>
      <patternFill patternType="solid">
        <fgColor rgb="FF0F766E"/>
        <bgColor rgb="FF0E7490"/>
      </patternFill>
    </fill>
    <fill>
      <patternFill patternType="solid">
        <fgColor rgb="FF6D28D9"/>
        <bgColor rgb="FF800080"/>
      </patternFill>
    </fill>
    <fill>
      <patternFill patternType="solid">
        <fgColor rgb="FF0E7490"/>
        <bgColor rgb="FF0F766E"/>
      </patternFill>
    </fill>
    <fill>
      <patternFill patternType="solid">
        <fgColor rgb="FFB91C1C"/>
        <bgColor rgb="FFC2410C"/>
      </patternFill>
    </fill>
    <fill>
      <patternFill patternType="solid">
        <fgColor rgb="FFDCFCE7"/>
        <bgColor rgb="FFCCFFFF"/>
      </patternFill>
    </fill>
    <fill>
      <patternFill patternType="solid">
        <fgColor rgb="FFFEE2E2"/>
        <bgColor rgb="FFFFEDD5"/>
      </patternFill>
    </fill>
    <fill>
      <patternFill patternType="solid">
        <fgColor rgb="FFFEF9C3"/>
        <bgColor rgb="FFFFEDD5"/>
      </patternFill>
    </fill>
    <fill>
      <patternFill patternType="solid">
        <fgColor rgb="FFFFEDD5"/>
        <bgColor rgb="FFFEE2E2"/>
      </patternFill>
    </fill>
    <fill>
      <patternFill patternType="solid">
        <fgColor rgb="FFB45309"/>
        <bgColor rgb="FFA16207"/>
      </patternFill>
    </fill>
    <fill>
      <patternFill patternType="solid">
        <fgColor rgb="0078350F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bottom"/>
    </xf>
    <xf numFmtId="0" fontId="16" fillId="2" borderId="1" applyAlignment="1" pivotButton="0" quotePrefix="0" xfId="0">
      <alignment horizontal="left" vertical="center"/>
    </xf>
    <xf numFmtId="0" fontId="17" fillId="3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17" fillId="5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right" vertical="center" wrapText="1"/>
    </xf>
    <xf numFmtId="0" fontId="17" fillId="6" borderId="2" applyAlignment="1" pivotButton="0" quotePrefix="0" xfId="0">
      <alignment horizontal="center" vertical="center" wrapText="1"/>
    </xf>
    <xf numFmtId="3" fontId="18" fillId="0" borderId="2" applyAlignment="1" pivotButton="0" quotePrefix="0" xfId="0">
      <alignment horizontal="right" vertical="center" wrapText="1"/>
    </xf>
    <xf numFmtId="3" fontId="18" fillId="0" borderId="2" applyAlignment="1" pivotButton="0" quotePrefix="0" xfId="0">
      <alignment horizontal="left" vertical="center" wrapText="1"/>
    </xf>
    <xf numFmtId="3" fontId="22" fillId="0" borderId="2" applyAlignment="1" pivotButton="0" quotePrefix="0" xfId="0">
      <alignment horizontal="right" vertical="center"/>
    </xf>
    <xf numFmtId="0" fontId="23" fillId="0" borderId="0" applyAlignment="1" pivotButton="0" quotePrefix="0" xfId="0">
      <alignment horizontal="general" vertical="bottom"/>
    </xf>
    <xf numFmtId="4" fontId="18" fillId="0" borderId="2" applyAlignment="1" pivotButton="0" quotePrefix="0" xfId="0">
      <alignment horizontal="right" vertical="center" wrapText="1"/>
    </xf>
    <xf numFmtId="0" fontId="17" fillId="7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horizontal="right" vertical="center" wrapText="1"/>
    </xf>
    <xf numFmtId="0" fontId="25" fillId="8" borderId="2" applyAlignment="1" pivotButton="0" quotePrefix="0" xfId="0">
      <alignment horizontal="left" vertical="center" wrapText="1"/>
    </xf>
    <xf numFmtId="0" fontId="26" fillId="9" borderId="2" applyAlignment="1" pivotButton="0" quotePrefix="0" xfId="0">
      <alignment horizontal="left" vertical="center" wrapText="1"/>
    </xf>
    <xf numFmtId="0" fontId="27" fillId="10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 wrapText="1"/>
    </xf>
    <xf numFmtId="0" fontId="17" fillId="12" borderId="2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left" vertical="center" wrapText="1"/>
    </xf>
    <xf numFmtId="0" fontId="31" fillId="6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bottom"/>
    </xf>
    <xf numFmtId="0" fontId="38" fillId="0" borderId="0" pivotButton="0" quotePrefix="0" xfId="0"/>
    <xf numFmtId="0" fontId="16" fillId="2" borderId="1" applyAlignment="1" pivotButton="0" quotePrefix="0" xfId="0">
      <alignment horizontal="left" vertical="center"/>
    </xf>
    <xf numFmtId="0" fontId="17" fillId="3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34" fillId="13" borderId="0" applyAlignment="1" pivotButton="0" quotePrefix="0" xfId="0">
      <alignment horizontal="left" vertical="center"/>
    </xf>
    <xf numFmtId="0" fontId="35" fillId="13" borderId="7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left" vertical="center" wrapText="1"/>
    </xf>
    <xf numFmtId="0" fontId="37" fillId="0" borderId="7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right" vertical="center" wrapText="1"/>
    </xf>
    <xf numFmtId="0" fontId="17" fillId="6" borderId="2" applyAlignment="1" pivotButton="0" quotePrefix="0" xfId="0">
      <alignment horizontal="center" vertical="center" wrapText="1"/>
    </xf>
    <xf numFmtId="3" fontId="18" fillId="0" borderId="2" applyAlignment="1" pivotButton="0" quotePrefix="0" xfId="0">
      <alignment horizontal="right" vertical="center" wrapText="1"/>
    </xf>
    <xf numFmtId="3" fontId="18" fillId="0" borderId="2" applyAlignment="1" pivotButton="0" quotePrefix="0" xfId="0">
      <alignment horizontal="left" vertical="center" wrapText="1"/>
    </xf>
    <xf numFmtId="3" fontId="22" fillId="0" borderId="2" applyAlignment="1" pivotButton="0" quotePrefix="0" xfId="0">
      <alignment horizontal="right" vertical="center"/>
    </xf>
    <xf numFmtId="0" fontId="23" fillId="0" borderId="0" applyAlignment="1" pivotButton="0" quotePrefix="0" xfId="0">
      <alignment horizontal="general" vertical="bottom"/>
    </xf>
    <xf numFmtId="4" fontId="18" fillId="0" borderId="2" applyAlignment="1" pivotButton="0" quotePrefix="0" xfId="0">
      <alignment horizontal="right" vertical="center" wrapText="1"/>
    </xf>
    <xf numFmtId="0" fontId="17" fillId="7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horizontal="right" vertical="center" wrapText="1"/>
    </xf>
    <xf numFmtId="0" fontId="25" fillId="8" borderId="2" applyAlignment="1" pivotButton="0" quotePrefix="0" xfId="0">
      <alignment horizontal="left" vertical="center" wrapText="1"/>
    </xf>
    <xf numFmtId="0" fontId="26" fillId="9" borderId="2" applyAlignment="1" pivotButton="0" quotePrefix="0" xfId="0">
      <alignment horizontal="left" vertical="center" wrapText="1"/>
    </xf>
    <xf numFmtId="0" fontId="27" fillId="10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 wrapText="1"/>
    </xf>
    <xf numFmtId="0" fontId="17" fillId="12" borderId="2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left" vertical="center" wrapText="1"/>
    </xf>
    <xf numFmtId="0" fontId="31" fillId="6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0" fontId="39" fillId="2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left" vertical="center"/>
    </xf>
    <xf numFmtId="0" fontId="4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6D28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9C3"/>
          <bgColor rgb="FF000000"/>
        </patternFill>
      </fill>
    </dxf>
    <dxf>
      <fill>
        <patternFill patternType="solid">
          <fgColor rgb="FFFFEDD5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A16207"/>
          <bgColor rgb="FF000000"/>
        </patternFill>
      </fill>
    </dxf>
    <dxf>
      <fill>
        <patternFill patternType="solid">
          <fgColor rgb="FFC2410C"/>
          <bgColor rgb="FF000000"/>
        </patternFill>
      </fill>
    </dxf>
    <dxf>
      <fill>
        <patternFill patternType="solid">
          <fgColor rgb="FFB4530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A16207"/>
      <rgbColor rgb="FF6D28D9"/>
      <rgbColor rgb="FF0F766E"/>
      <rgbColor rgb="FFD1D5DB"/>
      <rgbColor rgb="FF808080"/>
      <rgbColor rgb="FF9999FF"/>
      <rgbColor rgb="FFB91C1C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E7490"/>
      <rgbColor rgb="FF0000FF"/>
      <rgbColor rgb="FF00CCFF"/>
      <rgbColor rgb="FFCCFFFF"/>
      <rgbColor rgb="FFCCFFCC"/>
      <rgbColor rgb="FFFFEDD5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1E3A5F"/>
      <rgbColor rgb="FF339966"/>
      <rgbColor rgb="FF0F172A"/>
      <rgbColor rgb="FF475569"/>
      <rgbColor rgb="FFC2410C"/>
      <rgbColor rgb="FFB45309"/>
      <rgbColor rgb="FF2C5282"/>
      <rgbColor rgb="FF3341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1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40" min="1" max="1"/>
    <col width="30" customWidth="1" style="40" min="2" max="2"/>
    <col width="16" customWidth="1" style="40" min="3" max="7"/>
  </cols>
  <sheetData>
    <row r="2" ht="22.05" customHeight="1" s="41">
      <c r="B2" s="88" t="inlineStr">
        <is>
          <t>Cenobamate BOM Tree (v1)</t>
        </is>
      </c>
      <c r="C2" s="43" t="n"/>
      <c r="D2" s="43" t="n"/>
      <c r="E2" s="43" t="n"/>
      <c r="F2" s="44" t="n"/>
    </row>
    <row r="3" ht="15" customHeight="1" s="41">
      <c r="B3" s="45" t="inlineStr">
        <is>
          <t>Eurofarma 반영 / Plant &amp; Storage 통합 / CMO Pricing Master 추가</t>
        </is>
      </c>
      <c r="C3" s="43" t="n"/>
      <c r="D3" s="43" t="n"/>
      <c r="E3" s="43" t="n"/>
      <c r="F3" s="44" t="n"/>
    </row>
    <row r="5" ht="15" customHeight="1" s="41">
      <c r="B5" s="46" t="inlineStr">
        <is>
          <t>탭(Tab)</t>
        </is>
      </c>
      <c r="C5" s="46" t="inlineStr">
        <is>
          <t>내용</t>
        </is>
      </c>
      <c r="D5" s="43" t="n"/>
      <c r="E5" s="43" t="n"/>
      <c r="F5" s="43" t="n"/>
      <c r="G5" s="44" t="n"/>
    </row>
    <row r="6" ht="15" customHeight="1" s="41">
      <c r="B6" s="47" t="inlineStr">
        <is>
          <t>1. BOM Tree</t>
        </is>
      </c>
      <c r="C6" s="48" t="inlineStr">
        <is>
          <t>Level별 BOM 구조 (RSM→API→DP→SP→FP)</t>
        </is>
      </c>
      <c r="D6" s="43" t="n"/>
      <c r="E6" s="43" t="n"/>
      <c r="F6" s="43" t="n"/>
      <c r="G6" s="44" t="n"/>
    </row>
    <row r="7" ht="15" customHeight="1" s="41">
      <c r="B7" s="47" t="inlineStr">
        <is>
          <t>2. Common Blend</t>
        </is>
      </c>
      <c r="C7" s="49" t="inlineStr">
        <is>
          <t>함량별 공통 블렌드 / 배치 구성</t>
        </is>
      </c>
      <c r="D7" s="43" t="n"/>
      <c r="E7" s="43" t="n"/>
      <c r="F7" s="43" t="n"/>
      <c r="G7" s="44" t="n"/>
    </row>
    <row r="8" ht="15" customHeight="1" s="41">
      <c r="B8" s="47" t="inlineStr">
        <is>
          <t>3. Partner Mapping</t>
        </is>
      </c>
      <c r="C8" s="49" t="inlineStr">
        <is>
          <t>파트너별 공급 레벨·제품코드</t>
        </is>
      </c>
      <c r="D8" s="43" t="n"/>
      <c r="E8" s="43" t="n"/>
      <c r="F8" s="43" t="n"/>
      <c r="G8" s="44" t="n"/>
    </row>
    <row r="9" ht="15" customHeight="1" s="41">
      <c r="B9" s="47" t="inlineStr">
        <is>
          <t>4. CMO Summary</t>
        </is>
      </c>
      <c r="C9" s="48" t="inlineStr">
        <is>
          <t>CMO별 역할·담당단계·플랜트</t>
        </is>
      </c>
      <c r="D9" s="43" t="n"/>
      <c r="E9" s="43" t="n"/>
      <c r="F9" s="43" t="n"/>
      <c r="G9" s="44" t="n"/>
    </row>
    <row r="10" ht="15" customHeight="1" s="41">
      <c r="B10" s="47" t="inlineStr">
        <is>
          <t>5. Supply Flow</t>
        </is>
      </c>
      <c r="C10" s="49" t="inlineStr">
        <is>
          <t>시장별 공급 흐름 (RSM~FP)</t>
        </is>
      </c>
      <c r="D10" s="43" t="n"/>
      <c r="E10" s="43" t="n"/>
      <c r="F10" s="43" t="n"/>
      <c r="G10" s="44" t="n"/>
    </row>
    <row r="11" ht="15" customHeight="1" s="41">
      <c r="B11" s="47" t="inlineStr">
        <is>
          <t>6. Plant &amp; Storage Location</t>
        </is>
      </c>
      <c r="C11" s="48" t="inlineStr">
        <is>
          <t>SAP 플랜트·저장위치 마스터</t>
        </is>
      </c>
      <c r="D11" s="43" t="n"/>
      <c r="E11" s="43" t="n"/>
      <c r="F11" s="43" t="n"/>
      <c r="G11" s="44" t="n"/>
    </row>
    <row r="12" ht="15" customHeight="1" s="41">
      <c r="B12" s="50" t="inlineStr">
        <is>
          <t>7. CMO Pricing Master ★</t>
        </is>
      </c>
      <c r="C12" s="48" t="inlineStr">
        <is>
          <t>[신규] 전 단계 CMO 단가 + 공급망 全구간 관세 시나리오(A~F) + 도입비용</t>
        </is>
      </c>
      <c r="D12" s="43" t="n"/>
      <c r="E12" s="43" t="n"/>
      <c r="F12" s="43" t="n"/>
      <c r="G12" s="44" t="n"/>
    </row>
    <row r="14" ht="15" customHeight="1" s="41">
      <c r="B14" s="89" t="inlineStr">
        <is>
          <t>통화: USD · 관세는 2026.10 발효·강도 설정 기준 · Generated from Cenobamate_BOM_DB_v1 + Cockpit</t>
        </is>
      </c>
      <c r="C14" s="43" t="n"/>
      <c r="D14" s="43" t="n"/>
      <c r="E14" s="43" t="n"/>
      <c r="F14" s="43" t="n"/>
      <c r="G14" s="44" t="n"/>
    </row>
    <row r="16" ht="15" customHeight="1" s="41">
      <c r="B16" s="52" t="inlineStr">
        <is>
          <t>▸ DB 탭(정규화): DIM_CMO · FACT_RSM_Price · FACT_API_Price · FACT_DP/SP/FP_Price · FACT_Tariff(별도) · FACT_IntroCost(별도) · README_DB</t>
        </is>
      </c>
    </row>
    <row r="17">
      <c r="B17" s="53" t="inlineStr">
        <is>
          <t>▸ LEGACY_Codes 탭: 과거 API 코드(1CNZ*) — RSM 미관리 시기, 현행 2CNY*와 매핑</t>
        </is>
      </c>
    </row>
  </sheetData>
  <mergeCells count="13">
    <mergeCell ref="B16:G16"/>
    <mergeCell ref="C7:G7"/>
    <mergeCell ref="C12:G12"/>
    <mergeCell ref="B2:F2"/>
    <mergeCell ref="C6:G6"/>
    <mergeCell ref="C10:G10"/>
    <mergeCell ref="B14:G14"/>
    <mergeCell ref="B17:G17"/>
    <mergeCell ref="B3:F3"/>
    <mergeCell ref="C11:G11"/>
    <mergeCell ref="C5:G5"/>
    <mergeCell ref="C8:G8"/>
    <mergeCell ref="C9:G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6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0" min="1" max="1"/>
    <col width="18" customWidth="1" style="40" min="2" max="18"/>
  </cols>
  <sheetData>
    <row r="1" ht="16.15" customHeight="1" s="41">
      <c r="A1" s="54" t="inlineStr">
        <is>
          <t>1. BOM Tree</t>
        </is>
      </c>
    </row>
    <row r="3" ht="22.35" customHeight="1" s="41">
      <c r="A3" s="55" t="inlineStr">
        <is>
          <t>Level</t>
        </is>
      </c>
      <c r="B3" s="55" t="inlineStr">
        <is>
          <t>Material Type</t>
        </is>
      </c>
      <c r="C3" s="55" t="inlineStr">
        <is>
          <t>Material Code</t>
        </is>
      </c>
      <c r="D3" s="55" t="inlineStr">
        <is>
          <t>Material Description</t>
        </is>
      </c>
      <c r="E3" s="55" t="inlineStr">
        <is>
          <t>Batch Size
(CMO A)</t>
        </is>
      </c>
      <c r="F3" s="55" t="inlineStr">
        <is>
          <t>Batch Size
(CMO B)</t>
        </is>
      </c>
      <c r="G3" s="55" t="inlineStr">
        <is>
          <t>Unit</t>
        </is>
      </c>
      <c r="H3" s="55" t="inlineStr">
        <is>
          <t>CMO A</t>
        </is>
      </c>
      <c r="I3" s="55" t="inlineStr">
        <is>
          <t>CMO B</t>
        </is>
      </c>
      <c r="J3" s="55" t="inlineStr">
        <is>
          <t>Input Material
Code</t>
        </is>
      </c>
      <c r="K3" s="55" t="inlineStr">
        <is>
          <t>Input Material
Description</t>
        </is>
      </c>
      <c r="L3" s="55" t="inlineStr">
        <is>
          <t>Conversion
Ratio</t>
        </is>
      </c>
      <c r="M3" s="55" t="inlineStr">
        <is>
          <t>Conversion
Unit</t>
        </is>
      </c>
      <c r="N3" s="55" t="inlineStr">
        <is>
          <t>Note</t>
        </is>
      </c>
      <c r="O3" s="55" t="inlineStr">
        <is>
          <t>SAP Plant (CMO A)</t>
        </is>
      </c>
      <c r="P3" s="55" t="inlineStr">
        <is>
          <t>SLoc (CMO A)</t>
        </is>
      </c>
      <c r="Q3" s="55" t="inlineStr">
        <is>
          <t>SAP Plant (CMO B)</t>
        </is>
      </c>
      <c r="R3" s="55" t="inlineStr">
        <is>
          <t>SLoc (CMO B)</t>
        </is>
      </c>
      <c r="S3" s="90" t="inlineStr">
        <is>
          <t>Input Routes</t>
        </is>
      </c>
      <c r="T3" s="90" t="inlineStr">
        <is>
          <t>Route Note</t>
        </is>
      </c>
      <c r="U3" s="90" t="inlineStr">
        <is>
          <t>Input Group</t>
        </is>
      </c>
      <c r="V3" s="90" t="inlineStr">
        <is>
          <t>Input Group Mode</t>
        </is>
      </c>
    </row>
    <row r="4" ht="35.05" customHeight="1" s="41">
      <c r="A4" s="56" t="inlineStr">
        <is>
          <t>0</t>
        </is>
      </c>
      <c r="B4" s="56" t="inlineStr">
        <is>
          <t>Raw Material</t>
        </is>
      </c>
      <c r="C4" s="56" t="inlineStr">
        <is>
          <t>1CNY001ZZZZZ</t>
        </is>
      </c>
      <c r="D4" s="56" t="inlineStr">
        <is>
          <t>YKP1941_US</t>
        </is>
      </c>
      <c r="E4" s="56" t="inlineStr">
        <is>
          <t>200</t>
        </is>
      </c>
      <c r="F4" s="56" t="inlineStr">
        <is>
          <t>180</t>
        </is>
      </c>
      <c r="G4" s="56" t="inlineStr">
        <is>
          <t>KG</t>
        </is>
      </c>
      <c r="H4" s="56" t="inlineStr">
        <is>
          <t>Lianhe</t>
        </is>
      </c>
      <c r="I4" s="56" t="inlineStr">
        <is>
          <t>Wisdom</t>
        </is>
      </c>
      <c r="J4" s="56" t="inlineStr">
        <is>
          <t>-</t>
        </is>
      </c>
      <c r="K4" s="56" t="inlineStr">
        <is>
          <t>-</t>
        </is>
      </c>
      <c r="L4" s="56" t="inlineStr">
        <is>
          <t>-</t>
        </is>
      </c>
      <c r="M4" s="56" t="inlineStr">
        <is>
          <t>-</t>
        </is>
      </c>
      <c r="N4" s="56" t="inlineStr">
        <is>
          <t>US API Input Option A
3종 RSM 상호 대체 가능 (Interchangeable)</t>
        </is>
      </c>
      <c r="O4" s="56" t="inlineStr">
        <is>
          <t>1100</t>
        </is>
      </c>
      <c r="P4" s="56" t="inlineStr">
        <is>
          <t>1101</t>
        </is>
      </c>
      <c r="Q4" s="56" t="inlineStr">
        <is>
          <t>1100</t>
        </is>
      </c>
      <c r="R4" s="56" t="inlineStr">
        <is>
          <t>1102</t>
        </is>
      </c>
    </row>
    <row r="5" ht="37.3" customHeight="1" s="41">
      <c r="A5" s="56" t="inlineStr">
        <is>
          <t>0</t>
        </is>
      </c>
      <c r="B5" s="56" t="inlineStr">
        <is>
          <t>Raw Material</t>
        </is>
      </c>
      <c r="C5" s="56" t="inlineStr">
        <is>
          <t>1CNY001NZZZZ</t>
        </is>
      </c>
      <c r="D5" s="56" t="inlineStr">
        <is>
          <t>YKP1941_US_New</t>
        </is>
      </c>
      <c r="E5" s="56" t="inlineStr">
        <is>
          <t>200</t>
        </is>
      </c>
      <c r="F5" s="56" t="inlineStr">
        <is>
          <t>180</t>
        </is>
      </c>
      <c r="G5" s="56" t="inlineStr">
        <is>
          <t>KG</t>
        </is>
      </c>
      <c r="H5" s="56" t="inlineStr">
        <is>
          <t>Lianhe</t>
        </is>
      </c>
      <c r="I5" s="56" t="inlineStr">
        <is>
          <t>Wisdom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56" t="inlineStr">
        <is>
          <t>-</t>
        </is>
      </c>
      <c r="N5" s="56" t="inlineStr">
        <is>
          <t>US API Input Option B
신규 공정 적용 자재
3종 RSM 상호 대체 가능</t>
        </is>
      </c>
      <c r="O5" s="56" t="inlineStr">
        <is>
          <t>1100</t>
        </is>
      </c>
      <c r="P5" s="56" t="inlineStr">
        <is>
          <t>1101</t>
        </is>
      </c>
      <c r="Q5" s="56" t="inlineStr">
        <is>
          <t>1100</t>
        </is>
      </c>
      <c r="R5" s="56" t="inlineStr">
        <is>
          <t>1102</t>
        </is>
      </c>
    </row>
    <row r="6" ht="49.95" customHeight="1" s="41">
      <c r="A6" s="56" t="inlineStr">
        <is>
          <t>0</t>
        </is>
      </c>
      <c r="B6" s="56" t="inlineStr">
        <is>
          <t>Raw Material</t>
        </is>
      </c>
      <c r="C6" s="56" t="inlineStr">
        <is>
          <t>1CNY002ZZZZZ</t>
        </is>
      </c>
      <c r="D6" s="56" t="inlineStr">
        <is>
          <t>YKP1941_EU</t>
        </is>
      </c>
      <c r="E6" s="56" t="inlineStr">
        <is>
          <t>200</t>
        </is>
      </c>
      <c r="F6" s="56" t="inlineStr">
        <is>
          <t>180</t>
        </is>
      </c>
      <c r="G6" s="56" t="inlineStr">
        <is>
          <t>KG</t>
        </is>
      </c>
      <c r="H6" s="56" t="inlineStr">
        <is>
          <t>Lianhe</t>
        </is>
      </c>
      <c r="I6" s="56" t="inlineStr">
        <is>
          <t>Wisdom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56" t="inlineStr">
        <is>
          <t>-</t>
        </is>
      </c>
      <c r="N6" s="56" t="inlineStr">
        <is>
          <t>EU API 전용 Input
US API Input Option C로도 사용 가능
3종 RSM 상호 대체 가능</t>
        </is>
      </c>
      <c r="O6" s="56" t="inlineStr">
        <is>
          <t>1100</t>
        </is>
      </c>
      <c r="P6" s="56" t="inlineStr">
        <is>
          <t>1101</t>
        </is>
      </c>
      <c r="Q6" s="56" t="inlineStr">
        <is>
          <t>1100</t>
        </is>
      </c>
      <c r="R6" s="56" t="inlineStr">
        <is>
          <t>1102</t>
        </is>
      </c>
    </row>
    <row r="7" ht="32.8" customHeight="1" s="41">
      <c r="A7" s="56" t="inlineStr">
        <is>
          <t>1</t>
        </is>
      </c>
      <c r="B7" s="56" t="inlineStr">
        <is>
          <t>API</t>
        </is>
      </c>
      <c r="C7" s="56" t="inlineStr">
        <is>
          <t>2CNY001ZZZZZ</t>
        </is>
      </c>
      <c r="D7" s="56" t="inlineStr">
        <is>
          <t>Cenobamate API_US_Subcontract</t>
        </is>
      </c>
      <c r="E7" s="56" t="inlineStr">
        <is>
          <t>482</t>
        </is>
      </c>
      <c r="F7" s="56" t="inlineStr">
        <is>
          <t>-</t>
        </is>
      </c>
      <c r="G7" s="56" t="inlineStr">
        <is>
          <t>KG</t>
        </is>
      </c>
      <c r="H7" s="56" t="inlineStr">
        <is>
          <t>SK biotek</t>
        </is>
      </c>
      <c r="I7" s="56" t="inlineStr">
        <is>
          <t>-</t>
        </is>
      </c>
      <c r="J7" s="56" t="inlineStr">
        <is>
          <t>1CNY001ZZZZZ
/ 1CNY001NZZZZ
/ 1CNY002ZZZZZ</t>
        </is>
      </c>
      <c r="K7" s="56" t="inlineStr">
        <is>
          <t>YKP1941_US
/ YKP1941_US_New
/ YKP1941_EU</t>
        </is>
      </c>
      <c r="L7" s="56" t="inlineStr">
        <is>
          <t>0.861</t>
        </is>
      </c>
      <c r="M7" s="56" t="inlineStr">
        <is>
          <t>KG/KG</t>
        </is>
      </c>
      <c r="N7" s="57" t="inlineStr">
        <is>
          <t>실제 합성 공정 / RSM 3종(US·US_New·EU)은 상호 대체 가능한 동일 등급(interchangeable) / 택1 또는 복수 조합 투입</t>
        </is>
      </c>
      <c r="O7" s="56" t="inlineStr">
        <is>
          <t>1100</t>
        </is>
      </c>
      <c r="P7" s="56" t="inlineStr">
        <is>
          <t>V202</t>
        </is>
      </c>
      <c r="Q7" s="56" t="inlineStr">
        <is>
          <t>-</t>
        </is>
      </c>
      <c r="R7" s="56" t="inlineStr">
        <is>
          <t>-</t>
        </is>
      </c>
      <c r="U7" t="inlineStr">
        <is>
          <t>1CNY001ZZZZZ,1CNY001NZZZZ,1CNY002ZZZZZ:RSM_US_INTERCHANGEABLE</t>
        </is>
      </c>
      <c r="V7" t="inlineStr">
        <is>
          <t>ANY_OR_COMBO</t>
        </is>
      </c>
    </row>
    <row r="8" ht="26.85" customHeight="1" s="41">
      <c r="A8" s="56" t="inlineStr">
        <is>
          <t>1</t>
        </is>
      </c>
      <c r="B8" s="56" t="inlineStr">
        <is>
          <t>API</t>
        </is>
      </c>
      <c r="C8" s="56" t="inlineStr">
        <is>
          <t>2CNY002ZZZZZ</t>
        </is>
      </c>
      <c r="D8" s="56" t="inlineStr">
        <is>
          <t>Cenobamate API_EU_Subcontract</t>
        </is>
      </c>
      <c r="E8" s="56" t="inlineStr">
        <is>
          <t>482</t>
        </is>
      </c>
      <c r="F8" s="56" t="inlineStr">
        <is>
          <t>-</t>
        </is>
      </c>
      <c r="G8" s="56" t="inlineStr">
        <is>
          <t>KG</t>
        </is>
      </c>
      <c r="H8" s="56" t="inlineStr">
        <is>
          <t>SK biotek</t>
        </is>
      </c>
      <c r="I8" s="56" t="inlineStr">
        <is>
          <t>-</t>
        </is>
      </c>
      <c r="J8" s="56" t="inlineStr">
        <is>
          <t>1CNY002ZZZZZ</t>
        </is>
      </c>
      <c r="K8" s="56" t="inlineStr">
        <is>
          <t>YKP1941_EU</t>
        </is>
      </c>
      <c r="L8" s="56" t="inlineStr">
        <is>
          <t>0.861</t>
        </is>
      </c>
      <c r="M8" s="56" t="inlineStr">
        <is>
          <t>KG/KG</t>
        </is>
      </c>
      <c r="N8" s="57" t="inlineStr">
        <is>
          <t>실제 합성 공정
EU RSM만 사용</t>
        </is>
      </c>
      <c r="O8" s="56" t="inlineStr">
        <is>
          <t>1100</t>
        </is>
      </c>
      <c r="P8" s="56" t="inlineStr">
        <is>
          <t>V202</t>
        </is>
      </c>
      <c r="Q8" s="56" t="inlineStr">
        <is>
          <t>-</t>
        </is>
      </c>
      <c r="R8" s="56" t="inlineStr">
        <is>
          <t>-</t>
        </is>
      </c>
    </row>
    <row r="9" ht="49.95" customHeight="1" s="41">
      <c r="A9" s="56" t="inlineStr">
        <is>
          <t>1</t>
        </is>
      </c>
      <c r="B9" s="56" t="inlineStr">
        <is>
          <t>API</t>
        </is>
      </c>
      <c r="C9" s="56" t="inlineStr">
        <is>
          <t>2CNY004ZZZZZ</t>
        </is>
      </c>
      <c r="D9" s="56" t="inlineStr">
        <is>
          <t>Cenobamate API_ROW1_Subcontract</t>
        </is>
      </c>
      <c r="E9" s="56" t="inlineStr">
        <is>
          <t>482</t>
        </is>
      </c>
      <c r="F9" s="56" t="inlineStr">
        <is>
          <t>-</t>
        </is>
      </c>
      <c r="G9" s="56" t="inlineStr">
        <is>
          <t>KG</t>
        </is>
      </c>
      <c r="H9" s="56" t="inlineStr">
        <is>
          <t>SK biotek</t>
        </is>
      </c>
      <c r="I9" s="56" t="inlineStr">
        <is>
          <t>-</t>
        </is>
      </c>
      <c r="J9" s="56" t="inlineStr">
        <is>
          <t>2CNY001ZZZZZ</t>
        </is>
      </c>
      <c r="K9" s="56" t="inlineStr">
        <is>
          <t>Cenobamate API_US</t>
        </is>
      </c>
      <c r="L9" s="56" t="inlineStr">
        <is>
          <t>1</t>
        </is>
      </c>
      <c r="M9" s="56" t="inlineStr">
        <is>
          <t>KG/KG</t>
        </is>
      </c>
      <c r="N9" s="57" t="inlineStr">
        <is>
          <t>⚠ 코드 변환만 (물리적 공정 없음)
US API → ROW1 API 코드 변환</t>
        </is>
      </c>
      <c r="O9" s="56" t="inlineStr">
        <is>
          <t>1100</t>
        </is>
      </c>
      <c r="P9" s="56" t="inlineStr">
        <is>
          <t>V202</t>
        </is>
      </c>
      <c r="Q9" s="56" t="inlineStr">
        <is>
          <t>-</t>
        </is>
      </c>
      <c r="R9" s="56" t="inlineStr">
        <is>
          <t>-</t>
        </is>
      </c>
    </row>
    <row r="10" ht="52.2" customHeight="1" s="41">
      <c r="A10" s="56" t="inlineStr">
        <is>
          <t>1</t>
        </is>
      </c>
      <c r="B10" s="56" t="inlineStr">
        <is>
          <t>API</t>
        </is>
      </c>
      <c r="C10" s="56" t="inlineStr">
        <is>
          <t>2CNY005ZZZZZ</t>
        </is>
      </c>
      <c r="D10" s="56" t="inlineStr">
        <is>
          <t>Cenobamate API_CA_Subcontract</t>
        </is>
      </c>
      <c r="E10" s="56" t="inlineStr">
        <is>
          <t>482</t>
        </is>
      </c>
      <c r="F10" s="56" t="inlineStr">
        <is>
          <t>-</t>
        </is>
      </c>
      <c r="G10" s="56" t="inlineStr">
        <is>
          <t>KG</t>
        </is>
      </c>
      <c r="H10" s="56" t="inlineStr">
        <is>
          <t>SK biotek</t>
        </is>
      </c>
      <c r="I10" s="56" t="inlineStr">
        <is>
          <t>-</t>
        </is>
      </c>
      <c r="J10" s="56" t="inlineStr">
        <is>
          <t>2CNY002ZZZZZ</t>
        </is>
      </c>
      <c r="K10" s="56" t="inlineStr">
        <is>
          <t>Cenobamate API_EU</t>
        </is>
      </c>
      <c r="L10" s="56" t="inlineStr">
        <is>
          <t>1</t>
        </is>
      </c>
      <c r="M10" s="56" t="inlineStr">
        <is>
          <t>KG/KG</t>
        </is>
      </c>
      <c r="N10" s="57" t="inlineStr">
        <is>
          <t>⚠ 코드 변환만 (물리적 공정 없음)
EU API → CA API 코드 변환</t>
        </is>
      </c>
      <c r="O10" s="56" t="inlineStr">
        <is>
          <t>1100</t>
        </is>
      </c>
      <c r="P10" s="56" t="inlineStr">
        <is>
          <t>V202</t>
        </is>
      </c>
      <c r="Q10" s="56" t="inlineStr">
        <is>
          <t>-</t>
        </is>
      </c>
      <c r="R10" s="56" t="inlineStr">
        <is>
          <t>-</t>
        </is>
      </c>
    </row>
    <row r="11" ht="37.3" customHeight="1" s="41">
      <c r="A11" s="56" t="inlineStr">
        <is>
          <t>2</t>
        </is>
      </c>
      <c r="B11" s="56" t="inlineStr">
        <is>
          <t>Drug Product</t>
        </is>
      </c>
      <c r="C11" s="56" t="inlineStr">
        <is>
          <t>3CNY0Z001ZZZ</t>
        </is>
      </c>
      <c r="D11" s="56" t="inlineStr">
        <is>
          <t>Cenobamate(US) 12.5mg_Tablet</t>
        </is>
      </c>
      <c r="E11" s="56" t="inlineStr">
        <is>
          <t>400000</t>
        </is>
      </c>
      <c r="F11" s="56" t="inlineStr">
        <is>
          <t>200000</t>
        </is>
      </c>
      <c r="G11" s="56" t="inlineStr">
        <is>
          <t>TAB</t>
        </is>
      </c>
      <c r="H11" s="56" t="inlineStr">
        <is>
          <t>Patheon</t>
        </is>
      </c>
      <c r="I11" s="56" t="inlineStr">
        <is>
          <t>Avara</t>
        </is>
      </c>
      <c r="J11" s="56" t="inlineStr">
        <is>
          <t>2CNY001ZZZZZ</t>
        </is>
      </c>
      <c r="K11" s="56" t="inlineStr">
        <is>
          <t>API_US</t>
        </is>
      </c>
      <c r="L11" s="56" t="inlineStr">
        <is>
          <t>80000</t>
        </is>
      </c>
      <c r="M11" s="56" t="inlineStr">
        <is>
          <t>TAB/KG</t>
        </is>
      </c>
      <c r="N11" s="56" t="inlineStr">
        <is>
          <t>Common Blend: API 40kg 중 5kg 분량 → 1배치</t>
        </is>
      </c>
      <c r="O11" s="56" t="inlineStr">
        <is>
          <t>1210</t>
        </is>
      </c>
      <c r="P11" s="56" t="inlineStr">
        <is>
          <t>V301</t>
        </is>
      </c>
      <c r="Q11" s="56" t="inlineStr">
        <is>
          <t>1310</t>
        </is>
      </c>
      <c r="R11" s="56" t="inlineStr">
        <is>
          <t>V301</t>
        </is>
      </c>
    </row>
    <row r="12" ht="37.3" customHeight="1" s="41">
      <c r="A12" s="56" t="inlineStr">
        <is>
          <t>2</t>
        </is>
      </c>
      <c r="B12" s="56" t="inlineStr">
        <is>
          <t>Drug Product</t>
        </is>
      </c>
      <c r="C12" s="56" t="inlineStr">
        <is>
          <t>3CNY1Z001ZZZ</t>
        </is>
      </c>
      <c r="D12" s="56" t="inlineStr">
        <is>
          <t>Cenobamate(US) 25mg_Tablet</t>
        </is>
      </c>
      <c r="E12" s="56" t="inlineStr">
        <is>
          <t>400000</t>
        </is>
      </c>
      <c r="F12" s="56" t="inlineStr">
        <is>
          <t>200000</t>
        </is>
      </c>
      <c r="G12" s="56" t="inlineStr">
        <is>
          <t>TAB</t>
        </is>
      </c>
      <c r="H12" s="56" t="inlineStr">
        <is>
          <t>Patheon</t>
        </is>
      </c>
      <c r="I12" s="56" t="inlineStr">
        <is>
          <t>Avara</t>
        </is>
      </c>
      <c r="J12" s="56" t="inlineStr">
        <is>
          <t>2CNY001ZZZZZ</t>
        </is>
      </c>
      <c r="K12" s="56" t="inlineStr">
        <is>
          <t>API_US</t>
        </is>
      </c>
      <c r="L12" s="56" t="inlineStr">
        <is>
          <t>40000</t>
        </is>
      </c>
      <c r="M12" s="56" t="inlineStr">
        <is>
          <t>TAB/KG</t>
        </is>
      </c>
      <c r="N12" s="56" t="inlineStr">
        <is>
          <t>Common Blend: API 40kg 중 10kg 분량 → 1배치</t>
        </is>
      </c>
      <c r="O12" s="56" t="inlineStr">
        <is>
          <t>1210</t>
        </is>
      </c>
      <c r="P12" s="56" t="inlineStr">
        <is>
          <t>V301</t>
        </is>
      </c>
      <c r="Q12" s="56" t="inlineStr">
        <is>
          <t>1310</t>
        </is>
      </c>
      <c r="R12" s="56" t="inlineStr">
        <is>
          <t>V301</t>
        </is>
      </c>
    </row>
    <row r="13" ht="37.3" customHeight="1" s="41">
      <c r="A13" s="56" t="inlineStr">
        <is>
          <t>2</t>
        </is>
      </c>
      <c r="B13" s="56" t="inlineStr">
        <is>
          <t>Drug Product</t>
        </is>
      </c>
      <c r="C13" s="56" t="inlineStr">
        <is>
          <t>3CNY2Z001ZZZ</t>
        </is>
      </c>
      <c r="D13" s="56" t="inlineStr">
        <is>
          <t>Cenobamate(US) 50mg_Tablet</t>
        </is>
      </c>
      <c r="E13" s="56" t="inlineStr">
        <is>
          <t>500000</t>
        </is>
      </c>
      <c r="F13" s="56" t="inlineStr">
        <is>
          <t>800000</t>
        </is>
      </c>
      <c r="G13" s="56" t="inlineStr">
        <is>
          <t>TAB</t>
        </is>
      </c>
      <c r="H13" s="56" t="inlineStr">
        <is>
          <t>Patheon</t>
        </is>
      </c>
      <c r="I13" s="56" t="inlineStr">
        <is>
          <t>Avara</t>
        </is>
      </c>
      <c r="J13" s="56" t="inlineStr">
        <is>
          <t>2CNY001ZZZZZ</t>
        </is>
      </c>
      <c r="K13" s="56" t="inlineStr">
        <is>
          <t>API_US</t>
        </is>
      </c>
      <c r="L13" s="56" t="inlineStr">
        <is>
          <t>20000</t>
        </is>
      </c>
      <c r="M13" s="56" t="inlineStr">
        <is>
          <t>TAB/KG</t>
        </is>
      </c>
      <c r="N13" s="56" t="inlineStr">
        <is>
          <t>Common Blend: API 40kg 중 25kg 분량 → 1배치</t>
        </is>
      </c>
      <c r="O13" s="56" t="inlineStr">
        <is>
          <t>1210</t>
        </is>
      </c>
      <c r="P13" s="56" t="inlineStr">
        <is>
          <t>V301</t>
        </is>
      </c>
      <c r="Q13" s="56" t="inlineStr">
        <is>
          <t>1310</t>
        </is>
      </c>
      <c r="R13" s="56" t="inlineStr">
        <is>
          <t>V301</t>
        </is>
      </c>
    </row>
    <row r="14" ht="52.2" customHeight="1" s="41">
      <c r="A14" s="56" t="inlineStr">
        <is>
          <t>2</t>
        </is>
      </c>
      <c r="B14" s="56" t="inlineStr">
        <is>
          <t>Drug Product</t>
        </is>
      </c>
      <c r="C14" s="56" t="inlineStr">
        <is>
          <t>3CNY2Z001ZZZ</t>
        </is>
      </c>
      <c r="D14" s="56" t="inlineStr">
        <is>
          <t>Cenobamate(US) 50mg_Tablet [Scale-up]</t>
        </is>
      </c>
      <c r="E14" s="56" t="inlineStr">
        <is>
          <t>800000</t>
        </is>
      </c>
      <c r="F14" s="56" t="inlineStr">
        <is>
          <t>-</t>
        </is>
      </c>
      <c r="G14" s="56" t="inlineStr">
        <is>
          <t>-</t>
        </is>
      </c>
      <c r="H14" s="56" t="inlineStr">
        <is>
          <t>Patheon</t>
        </is>
      </c>
      <c r="I14" s="56" t="inlineStr">
        <is>
          <t>Avara</t>
        </is>
      </c>
      <c r="J14" s="56" t="inlineStr">
        <is>
          <t>-</t>
        </is>
      </c>
      <c r="K14" s="56" t="inlineStr">
        <is>
          <t>-</t>
        </is>
      </c>
      <c r="L14" s="56" t="inlineStr">
        <is>
          <t>20000</t>
        </is>
      </c>
      <c r="M14" s="56" t="inlineStr">
        <is>
          <t>TAB/KG</t>
        </is>
      </c>
      <c r="N14" s="56" t="inlineStr">
        <is>
          <t>50mg 단독 Scale-up 생산
SAP 코드 동일, Desc.으로 구분</t>
        </is>
      </c>
      <c r="O14" s="56" t="inlineStr">
        <is>
          <t>1210</t>
        </is>
      </c>
      <c r="P14" s="56" t="inlineStr">
        <is>
          <t>V301</t>
        </is>
      </c>
      <c r="Q14" s="56" t="inlineStr">
        <is>
          <t>1310</t>
        </is>
      </c>
      <c r="R14" s="56" t="inlineStr">
        <is>
          <t>V301</t>
        </is>
      </c>
    </row>
    <row r="15" ht="22.35" customHeight="1" s="41">
      <c r="A15" s="56" t="inlineStr">
        <is>
          <t>2</t>
        </is>
      </c>
      <c r="B15" s="56" t="inlineStr">
        <is>
          <t>Drug Product</t>
        </is>
      </c>
      <c r="C15" s="56" t="inlineStr">
        <is>
          <t>3CNY3Z001ZZZ</t>
        </is>
      </c>
      <c r="D15" s="56" t="inlineStr">
        <is>
          <t>Cenobamate(US) 100mg_Tablet</t>
        </is>
      </c>
      <c r="E15" s="56" t="inlineStr">
        <is>
          <t>800000</t>
        </is>
      </c>
      <c r="F15" s="56" t="inlineStr">
        <is>
          <t>800000</t>
        </is>
      </c>
      <c r="G15" s="56" t="inlineStr">
        <is>
          <t>TAB</t>
        </is>
      </c>
      <c r="H15" s="56" t="inlineStr">
        <is>
          <t>Patheon</t>
        </is>
      </c>
      <c r="I15" s="56" t="inlineStr">
        <is>
          <t>Avara</t>
        </is>
      </c>
      <c r="J15" s="56" t="inlineStr">
        <is>
          <t>2CNY001ZZZZZ</t>
        </is>
      </c>
      <c r="K15" s="56" t="inlineStr">
        <is>
          <t>API_US</t>
        </is>
      </c>
      <c r="L15" s="56" t="inlineStr">
        <is>
          <t>10000</t>
        </is>
      </c>
      <c r="M15" s="56" t="inlineStr">
        <is>
          <t>TAB/KG</t>
        </is>
      </c>
      <c r="N15" s="57" t="inlineStr">
        <is>
          <t>단독 제조</t>
        </is>
      </c>
      <c r="O15" s="56" t="inlineStr">
        <is>
          <t>1210</t>
        </is>
      </c>
      <c r="P15" s="56" t="inlineStr">
        <is>
          <t>V301</t>
        </is>
      </c>
      <c r="Q15" s="56" t="inlineStr">
        <is>
          <t>1310</t>
        </is>
      </c>
      <c r="R15" s="56" t="inlineStr">
        <is>
          <t>V301</t>
        </is>
      </c>
    </row>
    <row r="16" ht="22.35" customHeight="1" s="41">
      <c r="A16" s="56" t="inlineStr">
        <is>
          <t>2</t>
        </is>
      </c>
      <c r="B16" s="56" t="inlineStr">
        <is>
          <t>Drug Product</t>
        </is>
      </c>
      <c r="C16" s="56" t="inlineStr">
        <is>
          <t>3CNY4Z001ZZZ</t>
        </is>
      </c>
      <c r="D16" s="56" t="inlineStr">
        <is>
          <t>Cenobamate(US) 150mg_Tablet</t>
        </is>
      </c>
      <c r="E16" s="56" t="inlineStr">
        <is>
          <t>533333</t>
        </is>
      </c>
      <c r="F16" s="56" t="inlineStr">
        <is>
          <t>533333</t>
        </is>
      </c>
      <c r="G16" s="56" t="inlineStr">
        <is>
          <t>TAB</t>
        </is>
      </c>
      <c r="H16" s="56" t="inlineStr">
        <is>
          <t>Patheon</t>
        </is>
      </c>
      <c r="I16" s="56" t="inlineStr">
        <is>
          <t>Avara</t>
        </is>
      </c>
      <c r="J16" s="56" t="inlineStr">
        <is>
          <t>2CNY001ZZZZZ</t>
        </is>
      </c>
      <c r="K16" s="56" t="inlineStr">
        <is>
          <t>API_US</t>
        </is>
      </c>
      <c r="L16" s="56" t="inlineStr">
        <is>
          <t>6666.66</t>
        </is>
      </c>
      <c r="M16" s="56" t="inlineStr">
        <is>
          <t>TAB/KG</t>
        </is>
      </c>
      <c r="N16" s="57" t="inlineStr">
        <is>
          <t>단독 제조</t>
        </is>
      </c>
      <c r="O16" s="56" t="inlineStr">
        <is>
          <t>1210</t>
        </is>
      </c>
      <c r="P16" s="56" t="inlineStr">
        <is>
          <t>V301</t>
        </is>
      </c>
      <c r="Q16" s="56" t="inlineStr">
        <is>
          <t>1310</t>
        </is>
      </c>
      <c r="R16" s="56" t="inlineStr">
        <is>
          <t>V301</t>
        </is>
      </c>
    </row>
    <row r="17" ht="22.35" customHeight="1" s="41">
      <c r="A17" s="56" t="inlineStr">
        <is>
          <t>2</t>
        </is>
      </c>
      <c r="B17" s="56" t="inlineStr">
        <is>
          <t>Drug Product</t>
        </is>
      </c>
      <c r="C17" s="56" t="inlineStr">
        <is>
          <t>3CNY5Z001ZZZ</t>
        </is>
      </c>
      <c r="D17" s="56" t="inlineStr">
        <is>
          <t>Cenobamate(US) 200mg_Tablet</t>
        </is>
      </c>
      <c r="E17" s="56" t="inlineStr">
        <is>
          <t>400000</t>
        </is>
      </c>
      <c r="F17" s="56" t="inlineStr">
        <is>
          <t>1200000</t>
        </is>
      </c>
      <c r="G17" s="56" t="inlineStr">
        <is>
          <t>TAB</t>
        </is>
      </c>
      <c r="H17" s="56" t="inlineStr">
        <is>
          <t>Patheon</t>
        </is>
      </c>
      <c r="I17" s="56" t="inlineStr">
        <is>
          <t>Avara</t>
        </is>
      </c>
      <c r="J17" s="56" t="inlineStr">
        <is>
          <t>2CNY001ZZZZZ</t>
        </is>
      </c>
      <c r="K17" s="56" t="inlineStr">
        <is>
          <t>API_US</t>
        </is>
      </c>
      <c r="L17" s="56" t="inlineStr">
        <is>
          <t>5000</t>
        </is>
      </c>
      <c r="M17" s="56" t="inlineStr">
        <is>
          <t>TAB/KG</t>
        </is>
      </c>
      <c r="N17" s="57" t="inlineStr">
        <is>
          <t>단독 제조</t>
        </is>
      </c>
      <c r="O17" s="56" t="inlineStr">
        <is>
          <t>1210</t>
        </is>
      </c>
      <c r="P17" s="56" t="inlineStr">
        <is>
          <t>V301</t>
        </is>
      </c>
      <c r="Q17" s="56" t="inlineStr">
        <is>
          <t>1310</t>
        </is>
      </c>
      <c r="R17" s="56" t="inlineStr">
        <is>
          <t>V301</t>
        </is>
      </c>
    </row>
    <row r="18" ht="26.85" customHeight="1" s="41">
      <c r="A18" s="56" t="inlineStr">
        <is>
          <t>2</t>
        </is>
      </c>
      <c r="B18" s="56" t="inlineStr">
        <is>
          <t>Drug Product</t>
        </is>
      </c>
      <c r="C18" s="56" t="inlineStr">
        <is>
          <t>3CNY0Z004ZZZ</t>
        </is>
      </c>
      <c r="D18" s="56" t="inlineStr">
        <is>
          <t>Cenobamate(CA) 12.5mg_Tablet</t>
        </is>
      </c>
      <c r="E18" s="56" t="inlineStr">
        <is>
          <t>400000</t>
        </is>
      </c>
      <c r="F18" s="56" t="inlineStr">
        <is>
          <t>-</t>
        </is>
      </c>
      <c r="G18" s="56" t="inlineStr">
        <is>
          <t>TAB</t>
        </is>
      </c>
      <c r="H18" s="56" t="inlineStr">
        <is>
          <t>Patheon</t>
        </is>
      </c>
      <c r="I18" s="56" t="inlineStr">
        <is>
          <t>Avara</t>
        </is>
      </c>
      <c r="J18" s="56" t="inlineStr">
        <is>
          <t>2CNY005ZZZZZ</t>
        </is>
      </c>
      <c r="K18" s="56" t="inlineStr">
        <is>
          <t>API_CA</t>
        </is>
      </c>
      <c r="L18" s="56" t="inlineStr">
        <is>
          <t>80000</t>
        </is>
      </c>
      <c r="M18" s="56" t="inlineStr">
        <is>
          <t>TAB/KG</t>
        </is>
      </c>
      <c r="N18" s="56" t="inlineStr">
        <is>
          <t>Avara: US 전용 (CA 미승인)</t>
        </is>
      </c>
      <c r="O18" s="56" t="inlineStr">
        <is>
          <t>1210</t>
        </is>
      </c>
      <c r="P18" s="56" t="inlineStr">
        <is>
          <t>V301</t>
        </is>
      </c>
      <c r="Q18" s="56" t="inlineStr">
        <is>
          <t>1310</t>
        </is>
      </c>
      <c r="R18" s="56" t="inlineStr">
        <is>
          <t>V301</t>
        </is>
      </c>
    </row>
    <row r="19" ht="22.35" customHeight="1" s="41">
      <c r="A19" s="56" t="inlineStr">
        <is>
          <t>2</t>
        </is>
      </c>
      <c r="B19" s="56" t="inlineStr">
        <is>
          <t>Drug Product</t>
        </is>
      </c>
      <c r="C19" s="56" t="inlineStr">
        <is>
          <t>3CNY1Z004ZZZ</t>
        </is>
      </c>
      <c r="D19" s="56" t="inlineStr">
        <is>
          <t>Cenobamate(CA) 25mg_Tablet</t>
        </is>
      </c>
      <c r="E19" s="56" t="inlineStr">
        <is>
          <t>400000</t>
        </is>
      </c>
      <c r="F19" s="56" t="inlineStr">
        <is>
          <t>-</t>
        </is>
      </c>
      <c r="G19" s="56" t="inlineStr">
        <is>
          <t>TAB</t>
        </is>
      </c>
      <c r="H19" s="56" t="inlineStr">
        <is>
          <t>Patheon</t>
        </is>
      </c>
      <c r="I19" s="56" t="inlineStr">
        <is>
          <t>Avara</t>
        </is>
      </c>
      <c r="J19" s="56" t="inlineStr">
        <is>
          <t>2CNY005ZZZZZ</t>
        </is>
      </c>
      <c r="K19" s="56" t="inlineStr">
        <is>
          <t>API_CA</t>
        </is>
      </c>
      <c r="L19" s="56" t="inlineStr">
        <is>
          <t>40000</t>
        </is>
      </c>
      <c r="M19" s="56" t="inlineStr">
        <is>
          <t>TAB/KG</t>
        </is>
      </c>
      <c r="N19" s="56" t="inlineStr">
        <is>
          <t>-</t>
        </is>
      </c>
      <c r="O19" s="56" t="inlineStr">
        <is>
          <t>1210</t>
        </is>
      </c>
      <c r="P19" s="56" t="inlineStr">
        <is>
          <t>V301</t>
        </is>
      </c>
      <c r="Q19" s="56" t="inlineStr">
        <is>
          <t>1310</t>
        </is>
      </c>
      <c r="R19" s="56" t="inlineStr">
        <is>
          <t>V301</t>
        </is>
      </c>
    </row>
    <row r="20" ht="22.35" customHeight="1" s="41">
      <c r="A20" s="56" t="inlineStr">
        <is>
          <t>2</t>
        </is>
      </c>
      <c r="B20" s="56" t="inlineStr">
        <is>
          <t>Drug Product</t>
        </is>
      </c>
      <c r="C20" s="56" t="inlineStr">
        <is>
          <t>3CNY2Z004ZZZ</t>
        </is>
      </c>
      <c r="D20" s="56" t="inlineStr">
        <is>
          <t>Cenobamate(CA) 50mg_Tablet</t>
        </is>
      </c>
      <c r="E20" s="56" t="inlineStr">
        <is>
          <t>500000</t>
        </is>
      </c>
      <c r="F20" s="56" t="inlineStr">
        <is>
          <t>-</t>
        </is>
      </c>
      <c r="G20" s="56" t="inlineStr">
        <is>
          <t>TAB</t>
        </is>
      </c>
      <c r="H20" s="56" t="inlineStr">
        <is>
          <t>Patheon</t>
        </is>
      </c>
      <c r="I20" s="56" t="inlineStr">
        <is>
          <t>Avara</t>
        </is>
      </c>
      <c r="J20" s="56" t="inlineStr">
        <is>
          <t>2CNY005ZZZZZ</t>
        </is>
      </c>
      <c r="K20" s="56" t="inlineStr">
        <is>
          <t>API_CA</t>
        </is>
      </c>
      <c r="L20" s="56" t="inlineStr">
        <is>
          <t>20000</t>
        </is>
      </c>
      <c r="M20" s="56" t="inlineStr">
        <is>
          <t>TAB/KG</t>
        </is>
      </c>
      <c r="N20" s="56" t="inlineStr">
        <is>
          <t>-</t>
        </is>
      </c>
      <c r="O20" s="56" t="inlineStr">
        <is>
          <t>1210</t>
        </is>
      </c>
      <c r="P20" s="56" t="inlineStr">
        <is>
          <t>V301</t>
        </is>
      </c>
      <c r="Q20" s="56" t="inlineStr">
        <is>
          <t>1310</t>
        </is>
      </c>
      <c r="R20" s="56" t="inlineStr">
        <is>
          <t>V301</t>
        </is>
      </c>
    </row>
    <row r="21" ht="22.35" customHeight="1" s="41">
      <c r="A21" s="56" t="inlineStr">
        <is>
          <t>2</t>
        </is>
      </c>
      <c r="B21" s="56" t="inlineStr">
        <is>
          <t>Drug Product</t>
        </is>
      </c>
      <c r="C21" s="56" t="inlineStr">
        <is>
          <t>3CNY3Z004ZZZ</t>
        </is>
      </c>
      <c r="D21" s="56" t="inlineStr">
        <is>
          <t>Cenobamate(CA) 100mg_Tablet</t>
        </is>
      </c>
      <c r="E21" s="56" t="inlineStr">
        <is>
          <t>800000</t>
        </is>
      </c>
      <c r="F21" s="56" t="inlineStr">
        <is>
          <t>-</t>
        </is>
      </c>
      <c r="G21" s="56" t="inlineStr">
        <is>
          <t>TAB</t>
        </is>
      </c>
      <c r="H21" s="56" t="inlineStr">
        <is>
          <t>Patheon</t>
        </is>
      </c>
      <c r="I21" s="56" t="inlineStr">
        <is>
          <t>Avara</t>
        </is>
      </c>
      <c r="J21" s="56" t="inlineStr">
        <is>
          <t>2CNY005ZZZZZ</t>
        </is>
      </c>
      <c r="K21" s="56" t="inlineStr">
        <is>
          <t>API_CA</t>
        </is>
      </c>
      <c r="L21" s="56" t="inlineStr">
        <is>
          <t>10000</t>
        </is>
      </c>
      <c r="M21" s="56" t="inlineStr">
        <is>
          <t>TAB/KG</t>
        </is>
      </c>
      <c r="N21" s="56" t="inlineStr">
        <is>
          <t>-</t>
        </is>
      </c>
      <c r="O21" s="56" t="inlineStr">
        <is>
          <t>1210</t>
        </is>
      </c>
      <c r="P21" s="56" t="inlineStr">
        <is>
          <t>V301</t>
        </is>
      </c>
      <c r="Q21" s="56" t="inlineStr">
        <is>
          <t>1310</t>
        </is>
      </c>
      <c r="R21" s="56" t="inlineStr">
        <is>
          <t>V301</t>
        </is>
      </c>
    </row>
    <row r="22" ht="22.35" customHeight="1" s="41">
      <c r="A22" s="56" t="inlineStr">
        <is>
          <t>2</t>
        </is>
      </c>
      <c r="B22" s="56" t="inlineStr">
        <is>
          <t>Drug Product</t>
        </is>
      </c>
      <c r="C22" s="56" t="inlineStr">
        <is>
          <t>3CNY4Z004ZZZ</t>
        </is>
      </c>
      <c r="D22" s="56" t="inlineStr">
        <is>
          <t>Cenobamate(CA) 150mg_Tablet</t>
        </is>
      </c>
      <c r="E22" s="56" t="inlineStr">
        <is>
          <t>533333</t>
        </is>
      </c>
      <c r="F22" s="56" t="inlineStr">
        <is>
          <t>-</t>
        </is>
      </c>
      <c r="G22" s="56" t="inlineStr">
        <is>
          <t>TAB</t>
        </is>
      </c>
      <c r="H22" s="56" t="inlineStr">
        <is>
          <t>Patheon</t>
        </is>
      </c>
      <c r="I22" s="56" t="inlineStr">
        <is>
          <t>Avara</t>
        </is>
      </c>
      <c r="J22" s="56" t="inlineStr">
        <is>
          <t>2CNY005ZZZZZ</t>
        </is>
      </c>
      <c r="K22" s="56" t="inlineStr">
        <is>
          <t>API_CA</t>
        </is>
      </c>
      <c r="L22" s="56" t="inlineStr">
        <is>
          <t>6666.66</t>
        </is>
      </c>
      <c r="M22" s="56" t="inlineStr">
        <is>
          <t>TAB/KG</t>
        </is>
      </c>
      <c r="N22" s="56" t="inlineStr">
        <is>
          <t>-</t>
        </is>
      </c>
      <c r="O22" s="56" t="inlineStr">
        <is>
          <t>1210</t>
        </is>
      </c>
      <c r="P22" s="56" t="inlineStr">
        <is>
          <t>V301</t>
        </is>
      </c>
      <c r="Q22" s="56" t="inlineStr">
        <is>
          <t>1310</t>
        </is>
      </c>
      <c r="R22" s="56" t="inlineStr">
        <is>
          <t>V301</t>
        </is>
      </c>
    </row>
    <row r="23" ht="22.35" customHeight="1" s="41">
      <c r="A23" s="56" t="inlineStr">
        <is>
          <t>2</t>
        </is>
      </c>
      <c r="B23" s="56" t="inlineStr">
        <is>
          <t>Drug Product</t>
        </is>
      </c>
      <c r="C23" s="56" t="inlineStr">
        <is>
          <t>3CNY5Z004ZZZ</t>
        </is>
      </c>
      <c r="D23" s="56" t="inlineStr">
        <is>
          <t>Cenobamate(CA) 200mg_Tablet</t>
        </is>
      </c>
      <c r="E23" s="56" t="inlineStr">
        <is>
          <t>400000</t>
        </is>
      </c>
      <c r="F23" s="56" t="inlineStr">
        <is>
          <t>-</t>
        </is>
      </c>
      <c r="G23" s="56" t="inlineStr">
        <is>
          <t>TAB</t>
        </is>
      </c>
      <c r="H23" s="56" t="inlineStr">
        <is>
          <t>Patheon</t>
        </is>
      </c>
      <c r="I23" s="56" t="inlineStr">
        <is>
          <t>Avara</t>
        </is>
      </c>
      <c r="J23" s="56" t="inlineStr">
        <is>
          <t>2CNY005ZZZZZ</t>
        </is>
      </c>
      <c r="K23" s="56" t="inlineStr">
        <is>
          <t>API_CA</t>
        </is>
      </c>
      <c r="L23" s="56" t="inlineStr">
        <is>
          <t>5000</t>
        </is>
      </c>
      <c r="M23" s="56" t="inlineStr">
        <is>
          <t>TAB/KG</t>
        </is>
      </c>
      <c r="N23" s="56" t="inlineStr">
        <is>
          <t>-</t>
        </is>
      </c>
      <c r="O23" s="56" t="inlineStr">
        <is>
          <t>1210</t>
        </is>
      </c>
      <c r="P23" s="56" t="inlineStr">
        <is>
          <t>V301</t>
        </is>
      </c>
      <c r="Q23" s="56" t="inlineStr">
        <is>
          <t>1310</t>
        </is>
      </c>
      <c r="R23" s="56" t="inlineStr">
        <is>
          <t>V301</t>
        </is>
      </c>
    </row>
    <row r="24" ht="22.35" customHeight="1" s="41">
      <c r="A24" s="56" t="inlineStr">
        <is>
          <t>2</t>
        </is>
      </c>
      <c r="B24" s="56" t="inlineStr">
        <is>
          <t>Drug Product</t>
        </is>
      </c>
      <c r="C24" s="56" t="inlineStr">
        <is>
          <t>3CNY0Z005ZZZ</t>
        </is>
      </c>
      <c r="D24" s="56" t="inlineStr">
        <is>
          <t>Cenobamate(IL) 12.5mg_Tablet</t>
        </is>
      </c>
      <c r="E24" s="56" t="inlineStr">
        <is>
          <t>400000</t>
        </is>
      </c>
      <c r="F24" s="56" t="inlineStr">
        <is>
          <t>-</t>
        </is>
      </c>
      <c r="G24" s="56" t="inlineStr">
        <is>
          <t>TAB</t>
        </is>
      </c>
      <c r="H24" s="56" t="inlineStr">
        <is>
          <t>Patheon</t>
        </is>
      </c>
      <c r="I24" s="56" t="inlineStr">
        <is>
          <t>Avara</t>
        </is>
      </c>
      <c r="J24" s="56" t="inlineStr">
        <is>
          <t>2CNY004ZZZZZ</t>
        </is>
      </c>
      <c r="K24" s="56" t="inlineStr">
        <is>
          <t>API_ROW1</t>
        </is>
      </c>
      <c r="L24" s="56" t="inlineStr">
        <is>
          <t>80000</t>
        </is>
      </c>
      <c r="M24" s="56" t="inlineStr">
        <is>
          <t>TAB/KG</t>
        </is>
      </c>
      <c r="N24" s="56" t="inlineStr">
        <is>
          <t>-</t>
        </is>
      </c>
      <c r="O24" s="56" t="inlineStr">
        <is>
          <t>1210</t>
        </is>
      </c>
      <c r="P24" s="56" t="inlineStr">
        <is>
          <t>V301</t>
        </is>
      </c>
      <c r="Q24" s="56" t="inlineStr">
        <is>
          <t>1310</t>
        </is>
      </c>
      <c r="R24" s="56" t="inlineStr">
        <is>
          <t>V301</t>
        </is>
      </c>
    </row>
    <row r="25" ht="22.35" customHeight="1" s="41">
      <c r="A25" s="56" t="inlineStr">
        <is>
          <t>2</t>
        </is>
      </c>
      <c r="B25" s="56" t="inlineStr">
        <is>
          <t>Drug Product</t>
        </is>
      </c>
      <c r="C25" s="56" t="inlineStr">
        <is>
          <t>3CNY1Z005ZZZ</t>
        </is>
      </c>
      <c r="D25" s="56" t="inlineStr">
        <is>
          <t>Cenobamate(IL) 25mg_Tablet</t>
        </is>
      </c>
      <c r="E25" s="56" t="inlineStr">
        <is>
          <t>400000</t>
        </is>
      </c>
      <c r="F25" s="56" t="inlineStr">
        <is>
          <t>-</t>
        </is>
      </c>
      <c r="G25" s="56" t="inlineStr">
        <is>
          <t>TAB</t>
        </is>
      </c>
      <c r="H25" s="56" t="inlineStr">
        <is>
          <t>Patheon</t>
        </is>
      </c>
      <c r="I25" s="56" t="inlineStr">
        <is>
          <t>Avara</t>
        </is>
      </c>
      <c r="J25" s="56" t="inlineStr">
        <is>
          <t>2CNY005ZZZZZ</t>
        </is>
      </c>
      <c r="K25" s="56" t="inlineStr">
        <is>
          <t>API_ROW1</t>
        </is>
      </c>
      <c r="L25" s="56" t="inlineStr">
        <is>
          <t>40000</t>
        </is>
      </c>
      <c r="M25" s="56" t="inlineStr">
        <is>
          <t>TAB/KG</t>
        </is>
      </c>
      <c r="N25" s="56" t="inlineStr">
        <is>
          <t>-</t>
        </is>
      </c>
      <c r="O25" s="56" t="inlineStr">
        <is>
          <t>1210</t>
        </is>
      </c>
      <c r="P25" s="56" t="inlineStr">
        <is>
          <t>V301</t>
        </is>
      </c>
      <c r="Q25" s="56" t="inlineStr">
        <is>
          <t>1310</t>
        </is>
      </c>
      <c r="R25" s="56" t="inlineStr">
        <is>
          <t>V301</t>
        </is>
      </c>
    </row>
    <row r="26" ht="22.35" customHeight="1" s="41">
      <c r="A26" s="56" t="inlineStr">
        <is>
          <t>2</t>
        </is>
      </c>
      <c r="B26" s="56" t="inlineStr">
        <is>
          <t>Drug Product</t>
        </is>
      </c>
      <c r="C26" s="56" t="inlineStr">
        <is>
          <t>3CNY2Z005ZZZ</t>
        </is>
      </c>
      <c r="D26" s="56" t="inlineStr">
        <is>
          <t>Cenobamate(IL) 50mg_Tablet</t>
        </is>
      </c>
      <c r="E26" s="56" t="inlineStr">
        <is>
          <t>500000</t>
        </is>
      </c>
      <c r="F26" s="56" t="inlineStr">
        <is>
          <t>-</t>
        </is>
      </c>
      <c r="G26" s="56" t="inlineStr">
        <is>
          <t>TAB</t>
        </is>
      </c>
      <c r="H26" s="56" t="inlineStr">
        <is>
          <t>Patheon</t>
        </is>
      </c>
      <c r="I26" s="56" t="inlineStr">
        <is>
          <t>Avara</t>
        </is>
      </c>
      <c r="J26" s="56" t="inlineStr">
        <is>
          <t>2CNY004ZZZZZ</t>
        </is>
      </c>
      <c r="K26" s="56" t="inlineStr">
        <is>
          <t>API_ROW1</t>
        </is>
      </c>
      <c r="L26" s="56" t="inlineStr">
        <is>
          <t>20000</t>
        </is>
      </c>
      <c r="M26" s="56" t="inlineStr">
        <is>
          <t>TAB/KG</t>
        </is>
      </c>
      <c r="N26" s="56" t="inlineStr">
        <is>
          <t>-</t>
        </is>
      </c>
      <c r="O26" s="56" t="inlineStr">
        <is>
          <t>1210</t>
        </is>
      </c>
      <c r="P26" s="56" t="inlineStr">
        <is>
          <t>V301</t>
        </is>
      </c>
      <c r="Q26" s="56" t="inlineStr">
        <is>
          <t>1310</t>
        </is>
      </c>
      <c r="R26" s="56" t="inlineStr">
        <is>
          <t>V301</t>
        </is>
      </c>
    </row>
    <row r="27" ht="22.35" customHeight="1" s="41">
      <c r="A27" s="56" t="inlineStr">
        <is>
          <t>2</t>
        </is>
      </c>
      <c r="B27" s="56" t="inlineStr">
        <is>
          <t>Drug Product</t>
        </is>
      </c>
      <c r="C27" s="56" t="inlineStr">
        <is>
          <t>3CNY3Z005ZZZ</t>
        </is>
      </c>
      <c r="D27" s="56" t="inlineStr">
        <is>
          <t>Cenobamate(IL) 100mg_Tablet</t>
        </is>
      </c>
      <c r="E27" s="56" t="inlineStr">
        <is>
          <t>800000</t>
        </is>
      </c>
      <c r="F27" s="56" t="inlineStr">
        <is>
          <t>-</t>
        </is>
      </c>
      <c r="G27" s="56" t="inlineStr">
        <is>
          <t>TAB</t>
        </is>
      </c>
      <c r="H27" s="56" t="inlineStr">
        <is>
          <t>Patheon</t>
        </is>
      </c>
      <c r="I27" s="56" t="inlineStr">
        <is>
          <t>Avara</t>
        </is>
      </c>
      <c r="J27" s="56" t="inlineStr">
        <is>
          <t>2CNY004ZZZZZ</t>
        </is>
      </c>
      <c r="K27" s="56" t="inlineStr">
        <is>
          <t>API_ROW1</t>
        </is>
      </c>
      <c r="L27" s="56" t="inlineStr">
        <is>
          <t>10000</t>
        </is>
      </c>
      <c r="M27" s="56" t="inlineStr">
        <is>
          <t>TAB/KG</t>
        </is>
      </c>
      <c r="N27" s="56" t="inlineStr">
        <is>
          <t>-</t>
        </is>
      </c>
      <c r="O27" s="56" t="inlineStr">
        <is>
          <t>1210</t>
        </is>
      </c>
      <c r="P27" s="56" t="inlineStr">
        <is>
          <t>V301</t>
        </is>
      </c>
      <c r="Q27" s="56" t="inlineStr">
        <is>
          <t>1310</t>
        </is>
      </c>
      <c r="R27" s="56" t="inlineStr">
        <is>
          <t>V301</t>
        </is>
      </c>
    </row>
    <row r="28" ht="22.35" customHeight="1" s="41">
      <c r="A28" s="56" t="inlineStr">
        <is>
          <t>2</t>
        </is>
      </c>
      <c r="B28" s="56" t="inlineStr">
        <is>
          <t>Drug Product</t>
        </is>
      </c>
      <c r="C28" s="56" t="inlineStr">
        <is>
          <t>3CNY4Z005ZZZ</t>
        </is>
      </c>
      <c r="D28" s="56" t="inlineStr">
        <is>
          <t>Cenobamate(IL) 150mg_Tablet</t>
        </is>
      </c>
      <c r="E28" s="56" t="inlineStr">
        <is>
          <t>533333</t>
        </is>
      </c>
      <c r="F28" s="56" t="inlineStr">
        <is>
          <t>-</t>
        </is>
      </c>
      <c r="G28" s="56" t="inlineStr">
        <is>
          <t>TAB</t>
        </is>
      </c>
      <c r="H28" s="56" t="inlineStr">
        <is>
          <t>Patheon</t>
        </is>
      </c>
      <c r="I28" s="56" t="inlineStr">
        <is>
          <t>Avara</t>
        </is>
      </c>
      <c r="J28" s="56" t="inlineStr">
        <is>
          <t>2CNY004ZZZZZ</t>
        </is>
      </c>
      <c r="K28" s="56" t="inlineStr">
        <is>
          <t>API_ROW1</t>
        </is>
      </c>
      <c r="L28" s="56" t="inlineStr">
        <is>
          <t>6666.66</t>
        </is>
      </c>
      <c r="M28" s="56" t="inlineStr">
        <is>
          <t>TAB/KG</t>
        </is>
      </c>
      <c r="N28" s="56" t="inlineStr">
        <is>
          <t>-</t>
        </is>
      </c>
      <c r="O28" s="56" t="inlineStr">
        <is>
          <t>1210</t>
        </is>
      </c>
      <c r="P28" s="56" t="inlineStr">
        <is>
          <t>V301</t>
        </is>
      </c>
      <c r="Q28" s="56" t="inlineStr">
        <is>
          <t>1310</t>
        </is>
      </c>
      <c r="R28" s="56" t="inlineStr">
        <is>
          <t>V301</t>
        </is>
      </c>
    </row>
    <row r="29" ht="22.35" customHeight="1" s="41">
      <c r="A29" s="56" t="inlineStr">
        <is>
          <t>2</t>
        </is>
      </c>
      <c r="B29" s="56" t="inlineStr">
        <is>
          <t>Drug Product</t>
        </is>
      </c>
      <c r="C29" s="56" t="inlineStr">
        <is>
          <t>3CNY5Z005ZZZ</t>
        </is>
      </c>
      <c r="D29" s="56" t="inlineStr">
        <is>
          <t>Cenobamate(IL) 200mg_Tablet</t>
        </is>
      </c>
      <c r="E29" s="56" t="inlineStr">
        <is>
          <t>400000</t>
        </is>
      </c>
      <c r="F29" s="56" t="inlineStr">
        <is>
          <t>-</t>
        </is>
      </c>
      <c r="G29" s="56" t="inlineStr">
        <is>
          <t>TAB</t>
        </is>
      </c>
      <c r="H29" s="56" t="inlineStr">
        <is>
          <t>Patheon</t>
        </is>
      </c>
      <c r="I29" s="56" t="inlineStr">
        <is>
          <t>Avara</t>
        </is>
      </c>
      <c r="J29" s="56" t="inlineStr">
        <is>
          <t>2CNY004ZZZZZ</t>
        </is>
      </c>
      <c r="K29" s="56" t="inlineStr">
        <is>
          <t>API_ROW1</t>
        </is>
      </c>
      <c r="L29" s="56" t="inlineStr">
        <is>
          <t>5000</t>
        </is>
      </c>
      <c r="M29" s="56" t="inlineStr">
        <is>
          <t>TAB/KG</t>
        </is>
      </c>
      <c r="N29" s="56" t="inlineStr">
        <is>
          <t>-</t>
        </is>
      </c>
      <c r="O29" s="56" t="inlineStr">
        <is>
          <t>1210</t>
        </is>
      </c>
      <c r="P29" s="56" t="inlineStr">
        <is>
          <t>V301</t>
        </is>
      </c>
      <c r="Q29" s="56" t="inlineStr">
        <is>
          <t>1310</t>
        </is>
      </c>
      <c r="R29" s="56" t="inlineStr">
        <is>
          <t>V301</t>
        </is>
      </c>
    </row>
    <row r="30" ht="22.35" customHeight="1" s="41">
      <c r="A30" s="56" t="inlineStr">
        <is>
          <t>2</t>
        </is>
      </c>
      <c r="B30" s="56" t="inlineStr">
        <is>
          <t>Drug Product</t>
        </is>
      </c>
      <c r="C30" s="56" t="inlineStr">
        <is>
          <t>3CNY0Z006ZZZ</t>
        </is>
      </c>
      <c r="D30" s="56" t="inlineStr">
        <is>
          <t>Cenobamate(HK) 12.5mg_Tablet</t>
        </is>
      </c>
      <c r="E30" s="56" t="inlineStr">
        <is>
          <t>400000</t>
        </is>
      </c>
      <c r="F30" s="56" t="inlineStr">
        <is>
          <t>-</t>
        </is>
      </c>
      <c r="G30" s="56" t="inlineStr">
        <is>
          <t>TAB</t>
        </is>
      </c>
      <c r="H30" s="56" t="inlineStr">
        <is>
          <t>Patheon</t>
        </is>
      </c>
      <c r="I30" s="56" t="inlineStr">
        <is>
          <t>Avara</t>
        </is>
      </c>
      <c r="J30" s="56" t="inlineStr">
        <is>
          <t>2CNY004ZZZZZ</t>
        </is>
      </c>
      <c r="K30" s="56" t="inlineStr">
        <is>
          <t>API_ROW1</t>
        </is>
      </c>
      <c r="L30" s="56" t="inlineStr">
        <is>
          <t>80000</t>
        </is>
      </c>
      <c r="M30" s="56" t="inlineStr">
        <is>
          <t>TAB/KG</t>
        </is>
      </c>
      <c r="N30" s="56" t="inlineStr">
        <is>
          <t>-</t>
        </is>
      </c>
      <c r="O30" s="56" t="inlineStr">
        <is>
          <t>1210</t>
        </is>
      </c>
      <c r="P30" s="56" t="inlineStr">
        <is>
          <t>V301</t>
        </is>
      </c>
      <c r="Q30" s="56" t="inlineStr">
        <is>
          <t>1310</t>
        </is>
      </c>
      <c r="R30" s="56" t="inlineStr">
        <is>
          <t>V301</t>
        </is>
      </c>
    </row>
    <row r="31" ht="22.35" customHeight="1" s="41">
      <c r="A31" s="56" t="inlineStr">
        <is>
          <t>2</t>
        </is>
      </c>
      <c r="B31" s="56" t="inlineStr">
        <is>
          <t>Drug Product</t>
        </is>
      </c>
      <c r="C31" s="56" t="inlineStr">
        <is>
          <t>3CNY1Z006ZZZ</t>
        </is>
      </c>
      <c r="D31" s="56" t="inlineStr">
        <is>
          <t>Cenobamate(HK) 25mg_Tablet</t>
        </is>
      </c>
      <c r="E31" s="56" t="inlineStr">
        <is>
          <t>400000</t>
        </is>
      </c>
      <c r="F31" s="56" t="inlineStr">
        <is>
          <t>-</t>
        </is>
      </c>
      <c r="G31" s="56" t="inlineStr">
        <is>
          <t>TAB</t>
        </is>
      </c>
      <c r="H31" s="56" t="inlineStr">
        <is>
          <t>Patheon</t>
        </is>
      </c>
      <c r="I31" s="56" t="inlineStr">
        <is>
          <t>Avara</t>
        </is>
      </c>
      <c r="J31" s="56" t="inlineStr">
        <is>
          <t>2CNY004ZZZZZ</t>
        </is>
      </c>
      <c r="K31" s="56" t="inlineStr">
        <is>
          <t>API_ROW1</t>
        </is>
      </c>
      <c r="L31" s="56" t="inlineStr">
        <is>
          <t>40000</t>
        </is>
      </c>
      <c r="M31" s="56" t="inlineStr">
        <is>
          <t>TAB/KG</t>
        </is>
      </c>
      <c r="N31" s="56" t="inlineStr">
        <is>
          <t>-</t>
        </is>
      </c>
      <c r="O31" s="56" t="inlineStr">
        <is>
          <t>1210</t>
        </is>
      </c>
      <c r="P31" s="56" t="inlineStr">
        <is>
          <t>V301</t>
        </is>
      </c>
      <c r="Q31" s="56" t="inlineStr">
        <is>
          <t>1310</t>
        </is>
      </c>
      <c r="R31" s="56" t="inlineStr">
        <is>
          <t>V301</t>
        </is>
      </c>
    </row>
    <row r="32" ht="22.35" customHeight="1" s="41">
      <c r="A32" s="56" t="inlineStr">
        <is>
          <t>2</t>
        </is>
      </c>
      <c r="B32" s="56" t="inlineStr">
        <is>
          <t>Drug Product</t>
        </is>
      </c>
      <c r="C32" s="56" t="inlineStr">
        <is>
          <t>3CNY2Z006ZZZ</t>
        </is>
      </c>
      <c r="D32" s="56" t="inlineStr">
        <is>
          <t>Cenobamate(HK) 50mg_Tablet</t>
        </is>
      </c>
      <c r="E32" s="56" t="inlineStr">
        <is>
          <t>500000</t>
        </is>
      </c>
      <c r="F32" s="56" t="inlineStr">
        <is>
          <t>-</t>
        </is>
      </c>
      <c r="G32" s="56" t="inlineStr">
        <is>
          <t>TAB</t>
        </is>
      </c>
      <c r="H32" s="56" t="inlineStr">
        <is>
          <t>Patheon</t>
        </is>
      </c>
      <c r="I32" s="56" t="inlineStr">
        <is>
          <t>Avara</t>
        </is>
      </c>
      <c r="J32" s="56" t="inlineStr">
        <is>
          <t>2CNY004ZZZZZ</t>
        </is>
      </c>
      <c r="K32" s="56" t="inlineStr">
        <is>
          <t>API_ROW1</t>
        </is>
      </c>
      <c r="L32" s="56" t="inlineStr">
        <is>
          <t>20000</t>
        </is>
      </c>
      <c r="M32" s="56" t="inlineStr">
        <is>
          <t>TAB/KG</t>
        </is>
      </c>
      <c r="N32" s="56" t="inlineStr">
        <is>
          <t>-</t>
        </is>
      </c>
      <c r="O32" s="56" t="inlineStr">
        <is>
          <t>1210</t>
        </is>
      </c>
      <c r="P32" s="56" t="inlineStr">
        <is>
          <t>V301</t>
        </is>
      </c>
      <c r="Q32" s="56" t="inlineStr">
        <is>
          <t>1310</t>
        </is>
      </c>
      <c r="R32" s="56" t="inlineStr">
        <is>
          <t>V301</t>
        </is>
      </c>
    </row>
    <row r="33" ht="22.35" customHeight="1" s="41">
      <c r="A33" s="56" t="inlineStr">
        <is>
          <t>2</t>
        </is>
      </c>
      <c r="B33" s="56" t="inlineStr">
        <is>
          <t>Drug Product</t>
        </is>
      </c>
      <c r="C33" s="56" t="inlineStr">
        <is>
          <t>3CNY3Z006ZZZ</t>
        </is>
      </c>
      <c r="D33" s="56" t="inlineStr">
        <is>
          <t>Cenobamate(HK) 100mg_Tablet</t>
        </is>
      </c>
      <c r="E33" s="56" t="inlineStr">
        <is>
          <t>800000</t>
        </is>
      </c>
      <c r="F33" s="56" t="inlineStr">
        <is>
          <t>-</t>
        </is>
      </c>
      <c r="G33" s="56" t="inlineStr">
        <is>
          <t>TAB</t>
        </is>
      </c>
      <c r="H33" s="56" t="inlineStr">
        <is>
          <t>Patheon</t>
        </is>
      </c>
      <c r="I33" s="56" t="inlineStr">
        <is>
          <t>Avara</t>
        </is>
      </c>
      <c r="J33" s="56" t="inlineStr">
        <is>
          <t>2CNY004ZZZZZ</t>
        </is>
      </c>
      <c r="K33" s="56" t="inlineStr">
        <is>
          <t>API_ROW1</t>
        </is>
      </c>
      <c r="L33" s="56" t="inlineStr">
        <is>
          <t>10000</t>
        </is>
      </c>
      <c r="M33" s="56" t="inlineStr">
        <is>
          <t>TAB/KG</t>
        </is>
      </c>
      <c r="N33" s="56" t="inlineStr">
        <is>
          <t>-</t>
        </is>
      </c>
      <c r="O33" s="56" t="inlineStr">
        <is>
          <t>1210</t>
        </is>
      </c>
      <c r="P33" s="56" t="inlineStr">
        <is>
          <t>V301</t>
        </is>
      </c>
      <c r="Q33" s="56" t="inlineStr">
        <is>
          <t>1310</t>
        </is>
      </c>
      <c r="R33" s="56" t="inlineStr">
        <is>
          <t>V301</t>
        </is>
      </c>
    </row>
    <row r="34" ht="22.35" customHeight="1" s="41">
      <c r="A34" s="56" t="inlineStr">
        <is>
          <t>2</t>
        </is>
      </c>
      <c r="B34" s="56" t="inlineStr">
        <is>
          <t>Drug Product</t>
        </is>
      </c>
      <c r="C34" s="56" t="inlineStr">
        <is>
          <t>3CNY4Z006ZZZ</t>
        </is>
      </c>
      <c r="D34" s="56" t="inlineStr">
        <is>
          <t>Cenobamate(HK) 150mg_Tablet</t>
        </is>
      </c>
      <c r="E34" s="56" t="inlineStr">
        <is>
          <t>533333</t>
        </is>
      </c>
      <c r="F34" s="56" t="inlineStr">
        <is>
          <t>-</t>
        </is>
      </c>
      <c r="G34" s="56" t="inlineStr">
        <is>
          <t>TAB</t>
        </is>
      </c>
      <c r="H34" s="56" t="inlineStr">
        <is>
          <t>Patheon</t>
        </is>
      </c>
      <c r="I34" s="56" t="inlineStr">
        <is>
          <t>Avara</t>
        </is>
      </c>
      <c r="J34" s="56" t="inlineStr">
        <is>
          <t>2CNY004ZZZZZ</t>
        </is>
      </c>
      <c r="K34" s="56" t="inlineStr">
        <is>
          <t>API_ROW1</t>
        </is>
      </c>
      <c r="L34" s="56" t="inlineStr">
        <is>
          <t>6666.66</t>
        </is>
      </c>
      <c r="M34" s="56" t="inlineStr">
        <is>
          <t>TAB/KG</t>
        </is>
      </c>
      <c r="N34" s="56" t="inlineStr">
        <is>
          <t>-</t>
        </is>
      </c>
      <c r="O34" s="56" t="inlineStr">
        <is>
          <t>1210</t>
        </is>
      </c>
      <c r="P34" s="56" t="inlineStr">
        <is>
          <t>V301</t>
        </is>
      </c>
      <c r="Q34" s="56" t="inlineStr">
        <is>
          <t>1310</t>
        </is>
      </c>
      <c r="R34" s="56" t="inlineStr">
        <is>
          <t>V301</t>
        </is>
      </c>
    </row>
    <row r="35" ht="22.35" customHeight="1" s="41">
      <c r="A35" s="56" t="inlineStr">
        <is>
          <t>2</t>
        </is>
      </c>
      <c r="B35" s="56" t="inlineStr">
        <is>
          <t>Drug Product</t>
        </is>
      </c>
      <c r="C35" s="56" t="inlineStr">
        <is>
          <t>3CNY5Z006ZZZ</t>
        </is>
      </c>
      <c r="D35" s="56" t="inlineStr">
        <is>
          <t>Cenobamate(HK) 200mg_Tablet</t>
        </is>
      </c>
      <c r="E35" s="56" t="inlineStr">
        <is>
          <t>400000</t>
        </is>
      </c>
      <c r="F35" s="56" t="inlineStr">
        <is>
          <t>-</t>
        </is>
      </c>
      <c r="G35" s="56" t="inlineStr">
        <is>
          <t>TAB</t>
        </is>
      </c>
      <c r="H35" s="56" t="inlineStr">
        <is>
          <t>Patheon</t>
        </is>
      </c>
      <c r="I35" s="56" t="inlineStr">
        <is>
          <t>Avara</t>
        </is>
      </c>
      <c r="J35" s="56" t="inlineStr">
        <is>
          <t>2CNY004ZZZZZ</t>
        </is>
      </c>
      <c r="K35" s="56" t="inlineStr">
        <is>
          <t>API_ROW1</t>
        </is>
      </c>
      <c r="L35" s="56" t="inlineStr">
        <is>
          <t>5000</t>
        </is>
      </c>
      <c r="M35" s="56" t="inlineStr">
        <is>
          <t>TAB/KG</t>
        </is>
      </c>
      <c r="N35" s="56" t="inlineStr">
        <is>
          <t>-</t>
        </is>
      </c>
      <c r="O35" s="56" t="inlineStr">
        <is>
          <t>1210</t>
        </is>
      </c>
      <c r="P35" s="56" t="inlineStr">
        <is>
          <t>V301</t>
        </is>
      </c>
      <c r="Q35" s="56" t="inlineStr">
        <is>
          <t>1310</t>
        </is>
      </c>
      <c r="R35" s="56" t="inlineStr">
        <is>
          <t>V301</t>
        </is>
      </c>
    </row>
    <row r="36" ht="35.05" customHeight="1" s="41">
      <c r="A36" s="56" t="inlineStr">
        <is>
          <t>2</t>
        </is>
      </c>
      <c r="B36" s="56" t="inlineStr">
        <is>
          <t>Drug Product</t>
        </is>
      </c>
      <c r="C36" s="56" t="inlineStr">
        <is>
          <t>3CNY0Z007ZZZ</t>
        </is>
      </c>
      <c r="D36" s="56" t="inlineStr">
        <is>
          <t>Cenobamate(CN) 12.5mg_Tablet</t>
        </is>
      </c>
      <c r="E36" s="56" t="inlineStr">
        <is>
          <t>400000</t>
        </is>
      </c>
      <c r="F36" s="56" t="inlineStr">
        <is>
          <t>-</t>
        </is>
      </c>
      <c r="G36" s="56" t="inlineStr">
        <is>
          <t>TAB</t>
        </is>
      </c>
      <c r="H36" s="56" t="inlineStr">
        <is>
          <t>Patheon</t>
        </is>
      </c>
      <c r="I36" s="56" t="inlineStr">
        <is>
          <t>Avara</t>
        </is>
      </c>
      <c r="J36" s="56" t="inlineStr">
        <is>
          <t>2CNY004ZZZZZ</t>
        </is>
      </c>
      <c r="K36" s="56" t="inlineStr">
        <is>
          <t>API_ROW1</t>
        </is>
      </c>
      <c r="L36" s="56" t="inlineStr">
        <is>
          <t>80000</t>
        </is>
      </c>
      <c r="M36" s="56" t="inlineStr">
        <is>
          <t>TAB/KG</t>
        </is>
      </c>
      <c r="N36" s="56" t="inlineStr">
        <is>
          <t>CN Common Blend: API 40kg 중 5kg×3배치=15kg</t>
        </is>
      </c>
      <c r="O36" s="56" t="inlineStr">
        <is>
          <t>1210</t>
        </is>
      </c>
      <c r="P36" s="56" t="inlineStr">
        <is>
          <t>V301</t>
        </is>
      </c>
      <c r="Q36" s="56" t="inlineStr">
        <is>
          <t>1310</t>
        </is>
      </c>
      <c r="R36" s="56" t="inlineStr">
        <is>
          <t>V301</t>
        </is>
      </c>
    </row>
    <row r="37" ht="39.55" customHeight="1" s="41">
      <c r="A37" s="56" t="inlineStr">
        <is>
          <t>2</t>
        </is>
      </c>
      <c r="B37" s="56" t="inlineStr">
        <is>
          <t>Drug Product</t>
        </is>
      </c>
      <c r="C37" s="56" t="inlineStr">
        <is>
          <t>3CNY1Z007ZZZ</t>
        </is>
      </c>
      <c r="D37" s="56" t="inlineStr">
        <is>
          <t>Cenobamate(CN) 25mg_Tablet</t>
        </is>
      </c>
      <c r="E37" s="56" t="inlineStr">
        <is>
          <t>400000</t>
        </is>
      </c>
      <c r="F37" s="56" t="inlineStr">
        <is>
          <t>-</t>
        </is>
      </c>
      <c r="G37" s="56" t="inlineStr">
        <is>
          <t>TAB</t>
        </is>
      </c>
      <c r="H37" s="56" t="inlineStr">
        <is>
          <t>Patheon</t>
        </is>
      </c>
      <c r="I37" s="56" t="inlineStr">
        <is>
          <t>Avara</t>
        </is>
      </c>
      <c r="J37" s="56" t="inlineStr">
        <is>
          <t>2CNY004ZZZZZ</t>
        </is>
      </c>
      <c r="K37" s="56" t="inlineStr">
        <is>
          <t>API_ROW1</t>
        </is>
      </c>
      <c r="L37" s="56" t="inlineStr">
        <is>
          <t>40000</t>
        </is>
      </c>
      <c r="M37" s="56" t="inlineStr">
        <is>
          <t>TAB/KG</t>
        </is>
      </c>
      <c r="N37" s="56" t="inlineStr">
        <is>
          <t>CN Common Blend에 미포함
별도 단독 생산 시 해당</t>
        </is>
      </c>
      <c r="O37" s="56" t="inlineStr">
        <is>
          <t>1210</t>
        </is>
      </c>
      <c r="P37" s="56" t="inlineStr">
        <is>
          <t>V301</t>
        </is>
      </c>
      <c r="Q37" s="56" t="inlineStr">
        <is>
          <t>1310</t>
        </is>
      </c>
      <c r="R37" s="56" t="inlineStr">
        <is>
          <t>V301</t>
        </is>
      </c>
    </row>
    <row r="38" ht="37.3" customHeight="1" s="41">
      <c r="A38" s="56" t="inlineStr">
        <is>
          <t>2</t>
        </is>
      </c>
      <c r="B38" s="56" t="inlineStr">
        <is>
          <t>Drug Product</t>
        </is>
      </c>
      <c r="C38" s="56" t="inlineStr">
        <is>
          <t>3CNY2Z007ZZZ</t>
        </is>
      </c>
      <c r="D38" s="56" t="inlineStr">
        <is>
          <t>Cenobamate(CN) 50mg_Tablet</t>
        </is>
      </c>
      <c r="E38" s="56" t="inlineStr">
        <is>
          <t>500000</t>
        </is>
      </c>
      <c r="F38" s="56" t="inlineStr">
        <is>
          <t>-</t>
        </is>
      </c>
      <c r="G38" s="56" t="inlineStr">
        <is>
          <t>TAB</t>
        </is>
      </c>
      <c r="H38" s="56" t="inlineStr">
        <is>
          <t>Patheon</t>
        </is>
      </c>
      <c r="I38" s="56" t="inlineStr">
        <is>
          <t>Avara</t>
        </is>
      </c>
      <c r="J38" s="56" t="inlineStr">
        <is>
          <t>2CNY004ZZZZZ</t>
        </is>
      </c>
      <c r="K38" s="56" t="inlineStr">
        <is>
          <t>API_ROW1</t>
        </is>
      </c>
      <c r="L38" s="56" t="inlineStr">
        <is>
          <t>20000</t>
        </is>
      </c>
      <c r="M38" s="56" t="inlineStr">
        <is>
          <t>TAB/KG</t>
        </is>
      </c>
      <c r="N38" s="56" t="inlineStr">
        <is>
          <t>CN Common Blend: API 40kg 중 25kg → 1배치</t>
        </is>
      </c>
      <c r="O38" s="56" t="inlineStr">
        <is>
          <t>1210</t>
        </is>
      </c>
      <c r="P38" s="56" t="inlineStr">
        <is>
          <t>V301</t>
        </is>
      </c>
      <c r="Q38" s="56" t="inlineStr">
        <is>
          <t>1310</t>
        </is>
      </c>
      <c r="R38" s="56" t="inlineStr">
        <is>
          <t>V301</t>
        </is>
      </c>
    </row>
    <row r="39" ht="39.55" customHeight="1" s="41">
      <c r="A39" s="56" t="inlineStr">
        <is>
          <t>2</t>
        </is>
      </c>
      <c r="B39" s="56" t="inlineStr">
        <is>
          <t>Drug Product</t>
        </is>
      </c>
      <c r="C39" s="56" t="inlineStr">
        <is>
          <t>3CNY2Z007ZZZ</t>
        </is>
      </c>
      <c r="D39" s="56" t="inlineStr">
        <is>
          <t>Cenobamate(CN) 50mg_Tablet [Scale-up]</t>
        </is>
      </c>
      <c r="E39" s="56" t="inlineStr">
        <is>
          <t>800000</t>
        </is>
      </c>
      <c r="F39" s="56" t="inlineStr">
        <is>
          <t>-</t>
        </is>
      </c>
      <c r="G39" s="56" t="inlineStr">
        <is>
          <t>-</t>
        </is>
      </c>
      <c r="H39" s="56" t="inlineStr">
        <is>
          <t>Patheon</t>
        </is>
      </c>
      <c r="I39" s="56" t="inlineStr">
        <is>
          <t>Avara</t>
        </is>
      </c>
      <c r="J39" s="56" t="inlineStr">
        <is>
          <t>-</t>
        </is>
      </c>
      <c r="K39" s="56" t="inlineStr">
        <is>
          <t>-</t>
        </is>
      </c>
      <c r="L39" s="56" t="inlineStr">
        <is>
          <t>20000</t>
        </is>
      </c>
      <c r="M39" s="56" t="inlineStr">
        <is>
          <t>TAB/KG</t>
        </is>
      </c>
      <c r="N39" s="56" t="inlineStr">
        <is>
          <t>50mg 단독 Scale-up 생산
SAP 코드 동일</t>
        </is>
      </c>
      <c r="O39" s="56" t="inlineStr">
        <is>
          <t>1210</t>
        </is>
      </c>
      <c r="P39" s="56" t="inlineStr">
        <is>
          <t>V301</t>
        </is>
      </c>
      <c r="Q39" s="56" t="inlineStr">
        <is>
          <t>1310</t>
        </is>
      </c>
      <c r="R39" s="56" t="inlineStr">
        <is>
          <t>V301</t>
        </is>
      </c>
    </row>
    <row r="40" ht="26.85" customHeight="1" s="41">
      <c r="A40" s="56" t="inlineStr">
        <is>
          <t>3</t>
        </is>
      </c>
      <c r="B40" s="56" t="inlineStr">
        <is>
          <t>Semi-FP_Britestock</t>
        </is>
      </c>
      <c r="C40" s="56" t="inlineStr">
        <is>
          <t>4CNR1ZA001ZZ</t>
        </is>
      </c>
      <c r="D40" s="56" t="inlineStr">
        <is>
          <t>Cenobamate(US) 25mg_Britestock_30ct</t>
        </is>
      </c>
      <c r="E40" s="56" t="inlineStr">
        <is>
          <t>13333</t>
        </is>
      </c>
      <c r="F40" s="56" t="inlineStr">
        <is>
          <t>-</t>
        </is>
      </c>
      <c r="G40" s="56" t="inlineStr">
        <is>
          <t>BTL</t>
        </is>
      </c>
      <c r="H40" s="56" t="inlineStr">
        <is>
          <t>Patheon</t>
        </is>
      </c>
      <c r="I40" s="56" t="inlineStr">
        <is>
          <t>Avara</t>
        </is>
      </c>
      <c r="J40" s="56" t="inlineStr">
        <is>
          <t>3CNY1Z001ZZZ</t>
        </is>
      </c>
      <c r="K40" s="56" t="inlineStr">
        <is>
          <t>US 25mg Tablet</t>
        </is>
      </c>
      <c r="L40" s="56" t="inlineStr">
        <is>
          <t>1/30</t>
        </is>
      </c>
      <c r="M40" s="56" t="inlineStr">
        <is>
          <t>BTL/TAB</t>
        </is>
      </c>
      <c r="N40" s="56" t="inlineStr">
        <is>
          <t>Bottle Packaging 전 단계</t>
        </is>
      </c>
      <c r="O40" s="56" t="inlineStr">
        <is>
          <t>1210</t>
        </is>
      </c>
      <c r="P40" s="56" t="inlineStr">
        <is>
          <t>V401</t>
        </is>
      </c>
      <c r="Q40" s="56" t="inlineStr">
        <is>
          <t>1310</t>
        </is>
      </c>
      <c r="R40" s="56" t="inlineStr">
        <is>
          <t>V401</t>
        </is>
      </c>
    </row>
    <row r="41" ht="22.35" customHeight="1" s="41">
      <c r="A41" s="56" t="inlineStr">
        <is>
          <t>3</t>
        </is>
      </c>
      <c r="B41" s="56" t="inlineStr">
        <is>
          <t>Semi-FP_Britestock</t>
        </is>
      </c>
      <c r="C41" s="56" t="inlineStr">
        <is>
          <t>4CNR2ZA001ZZ</t>
        </is>
      </c>
      <c r="D41" s="56" t="inlineStr">
        <is>
          <t>Cenobamate(US) 50mg_Britestock_30ct</t>
        </is>
      </c>
      <c r="E41" s="56" t="inlineStr">
        <is>
          <t>16666</t>
        </is>
      </c>
      <c r="F41" s="56" t="inlineStr">
        <is>
          <t>-</t>
        </is>
      </c>
      <c r="G41" s="56" t="inlineStr">
        <is>
          <t>BTL</t>
        </is>
      </c>
      <c r="H41" s="56" t="inlineStr">
        <is>
          <t>Patheon</t>
        </is>
      </c>
      <c r="I41" s="56" t="inlineStr">
        <is>
          <t>Avara</t>
        </is>
      </c>
      <c r="J41" s="56" t="inlineStr">
        <is>
          <t>3CNY2Z001ZZZ</t>
        </is>
      </c>
      <c r="K41" s="56" t="inlineStr">
        <is>
          <t>US 50mg Tablet</t>
        </is>
      </c>
      <c r="L41" s="56" t="inlineStr">
        <is>
          <t>1/30</t>
        </is>
      </c>
      <c r="M41" s="56" t="inlineStr">
        <is>
          <t>BTL/TAB</t>
        </is>
      </c>
      <c r="N41" s="56" t="inlineStr">
        <is>
          <t>-</t>
        </is>
      </c>
      <c r="O41" s="56" t="inlineStr">
        <is>
          <t>1210</t>
        </is>
      </c>
      <c r="P41" s="56" t="inlineStr">
        <is>
          <t>V401</t>
        </is>
      </c>
      <c r="Q41" s="56" t="inlineStr">
        <is>
          <t>1310</t>
        </is>
      </c>
      <c r="R41" s="56" t="inlineStr">
        <is>
          <t>V401</t>
        </is>
      </c>
    </row>
    <row r="42" ht="22.35" customHeight="1" s="41">
      <c r="A42" s="56" t="inlineStr">
        <is>
          <t>3</t>
        </is>
      </c>
      <c r="B42" s="56" t="inlineStr">
        <is>
          <t>Semi-FP_Britestock</t>
        </is>
      </c>
      <c r="C42" s="56" t="inlineStr">
        <is>
          <t>4CNR3ZA001ZZ</t>
        </is>
      </c>
      <c r="D42" s="56" t="inlineStr">
        <is>
          <t>Cenobamate(US) 100mg_Britestock_30ct</t>
        </is>
      </c>
      <c r="E42" s="56" t="inlineStr">
        <is>
          <t>26666</t>
        </is>
      </c>
      <c r="F42" s="56" t="inlineStr">
        <is>
          <t>-</t>
        </is>
      </c>
      <c r="G42" s="56" t="inlineStr">
        <is>
          <t>BTL</t>
        </is>
      </c>
      <c r="H42" s="56" t="inlineStr">
        <is>
          <t>Patheon</t>
        </is>
      </c>
      <c r="I42" s="56" t="inlineStr">
        <is>
          <t>Avara</t>
        </is>
      </c>
      <c r="J42" s="56" t="inlineStr">
        <is>
          <t>3CNY3Z001ZZZ</t>
        </is>
      </c>
      <c r="K42" s="56" t="inlineStr">
        <is>
          <t>US 100mg Tablet</t>
        </is>
      </c>
      <c r="L42" s="56" t="inlineStr">
        <is>
          <t>1/30</t>
        </is>
      </c>
      <c r="M42" s="56" t="inlineStr">
        <is>
          <t>BTL/TAB</t>
        </is>
      </c>
      <c r="N42" s="56" t="inlineStr">
        <is>
          <t>-</t>
        </is>
      </c>
      <c r="O42" s="56" t="inlineStr">
        <is>
          <t>1210</t>
        </is>
      </c>
      <c r="P42" s="56" t="inlineStr">
        <is>
          <t>V401</t>
        </is>
      </c>
      <c r="Q42" s="56" t="inlineStr">
        <is>
          <t>1310</t>
        </is>
      </c>
      <c r="R42" s="56" t="inlineStr">
        <is>
          <t>V401</t>
        </is>
      </c>
    </row>
    <row r="43" ht="22.35" customHeight="1" s="41">
      <c r="A43" s="56" t="inlineStr">
        <is>
          <t>3</t>
        </is>
      </c>
      <c r="B43" s="56" t="inlineStr">
        <is>
          <t>Semi-FP_Britestock</t>
        </is>
      </c>
      <c r="C43" s="56" t="inlineStr">
        <is>
          <t>4CNR4ZA001ZZ</t>
        </is>
      </c>
      <c r="D43" s="56" t="inlineStr">
        <is>
          <t>Cenobamate(US) 150mg_Britestock_30ct</t>
        </is>
      </c>
      <c r="E43" s="56" t="inlineStr">
        <is>
          <t>17777</t>
        </is>
      </c>
      <c r="F43" s="56" t="inlineStr">
        <is>
          <t>-</t>
        </is>
      </c>
      <c r="G43" s="56" t="inlineStr">
        <is>
          <t>BTL</t>
        </is>
      </c>
      <c r="H43" s="56" t="inlineStr">
        <is>
          <t>Patheon</t>
        </is>
      </c>
      <c r="I43" s="56" t="inlineStr">
        <is>
          <t>Avara</t>
        </is>
      </c>
      <c r="J43" s="56" t="inlineStr">
        <is>
          <t>3CNY4Z001ZZZ</t>
        </is>
      </c>
      <c r="K43" s="56" t="inlineStr">
        <is>
          <t>US 150mg Tablet</t>
        </is>
      </c>
      <c r="L43" s="56" t="inlineStr">
        <is>
          <t>1/30</t>
        </is>
      </c>
      <c r="M43" s="56" t="inlineStr">
        <is>
          <t>BTL/TAB</t>
        </is>
      </c>
      <c r="N43" s="56" t="inlineStr">
        <is>
          <t>-</t>
        </is>
      </c>
      <c r="O43" s="56" t="inlineStr">
        <is>
          <t>1210</t>
        </is>
      </c>
      <c r="P43" s="56" t="inlineStr">
        <is>
          <t>V401</t>
        </is>
      </c>
      <c r="Q43" s="56" t="inlineStr">
        <is>
          <t>1310</t>
        </is>
      </c>
      <c r="R43" s="56" t="inlineStr">
        <is>
          <t>V401</t>
        </is>
      </c>
    </row>
    <row r="44" ht="22.35" customHeight="1" s="41">
      <c r="A44" s="56" t="inlineStr">
        <is>
          <t>3</t>
        </is>
      </c>
      <c r="B44" s="56" t="inlineStr">
        <is>
          <t>Semi-FP_Britestock</t>
        </is>
      </c>
      <c r="C44" s="56" t="inlineStr">
        <is>
          <t>4CNR5ZA001ZZ</t>
        </is>
      </c>
      <c r="D44" s="56" t="inlineStr">
        <is>
          <t>Cenobamate(US) 200mg_Britestock_30ct</t>
        </is>
      </c>
      <c r="E44" s="56" t="inlineStr">
        <is>
          <t>13333</t>
        </is>
      </c>
      <c r="F44" s="56" t="inlineStr">
        <is>
          <t>-</t>
        </is>
      </c>
      <c r="G44" s="56" t="inlineStr">
        <is>
          <t>BTL</t>
        </is>
      </c>
      <c r="H44" s="56" t="inlineStr">
        <is>
          <t>Patheon</t>
        </is>
      </c>
      <c r="I44" s="56" t="inlineStr">
        <is>
          <t>Avara</t>
        </is>
      </c>
      <c r="J44" s="56" t="inlineStr">
        <is>
          <t>3CNY5Z001ZZZ</t>
        </is>
      </c>
      <c r="K44" s="56" t="inlineStr">
        <is>
          <t>US 200mg Tablet</t>
        </is>
      </c>
      <c r="L44" s="56" t="inlineStr">
        <is>
          <t>1/30</t>
        </is>
      </c>
      <c r="M44" s="56" t="inlineStr">
        <is>
          <t>BTL/TAB</t>
        </is>
      </c>
      <c r="N44" s="56" t="inlineStr">
        <is>
          <t>-</t>
        </is>
      </c>
      <c r="O44" s="56" t="inlineStr">
        <is>
          <t>1210</t>
        </is>
      </c>
      <c r="P44" s="56" t="inlineStr">
        <is>
          <t>V401</t>
        </is>
      </c>
      <c r="Q44" s="56" t="inlineStr">
        <is>
          <t>1310</t>
        </is>
      </c>
      <c r="R44" s="56" t="inlineStr">
        <is>
          <t>V401</t>
        </is>
      </c>
    </row>
    <row r="45" ht="22.35" customHeight="1" s="41">
      <c r="A45" s="56" t="inlineStr">
        <is>
          <t>3</t>
        </is>
      </c>
      <c r="B45" s="56" t="inlineStr">
        <is>
          <t>Semi-FP_Blister Strip</t>
        </is>
      </c>
      <c r="C45" s="56" t="inlineStr">
        <is>
          <t>4CNS0Z2001ZZ</t>
        </is>
      </c>
      <c r="D45" s="56" t="inlineStr">
        <is>
          <t>Cenobamate(US) 12.5mg_Blister_Strip A</t>
        </is>
      </c>
      <c r="E45" s="56" t="inlineStr">
        <is>
          <t>14285</t>
        </is>
      </c>
      <c r="F45" s="56" t="inlineStr">
        <is>
          <t>-</t>
        </is>
      </c>
      <c r="G45" s="56" t="inlineStr">
        <is>
          <t>BLS</t>
        </is>
      </c>
      <c r="H45" s="56" t="inlineStr">
        <is>
          <t>PCI CA</t>
        </is>
      </c>
      <c r="I45" s="56" t="inlineStr">
        <is>
          <t>-</t>
        </is>
      </c>
      <c r="J45" s="56" t="inlineStr">
        <is>
          <t>3CNY0Z001ZZZ</t>
        </is>
      </c>
      <c r="K45" s="56" t="inlineStr">
        <is>
          <t>US 12.5mg Tablet</t>
        </is>
      </c>
      <c r="L45" s="56" t="inlineStr">
        <is>
          <t>1/14</t>
        </is>
      </c>
      <c r="M45" s="56" t="inlineStr">
        <is>
          <t>BLS/TAB</t>
        </is>
      </c>
      <c r="N45" s="56" t="inlineStr">
        <is>
          <t>Blister Card 조립용</t>
        </is>
      </c>
      <c r="O45" s="56" t="inlineStr">
        <is>
          <t>1220</t>
        </is>
      </c>
      <c r="P45" s="56" t="inlineStr">
        <is>
          <t>V401</t>
        </is>
      </c>
      <c r="Q45" s="56" t="inlineStr">
        <is>
          <t>-</t>
        </is>
      </c>
      <c r="R45" s="56" t="inlineStr">
        <is>
          <t>-</t>
        </is>
      </c>
    </row>
    <row r="46" ht="22.35" customHeight="1" s="41">
      <c r="A46" s="56" t="inlineStr">
        <is>
          <t>3</t>
        </is>
      </c>
      <c r="B46" s="56" t="inlineStr">
        <is>
          <t>Semi-FP_Blister Strip</t>
        </is>
      </c>
      <c r="C46" s="56" t="inlineStr">
        <is>
          <t>4CNS0Z2007ZZ</t>
        </is>
      </c>
      <c r="D46" s="56" t="inlineStr">
        <is>
          <t>Cenobamate(CN) 12.5mg_Blister_Strip</t>
        </is>
      </c>
      <c r="E46" s="56" t="inlineStr">
        <is>
          <t>14285</t>
        </is>
      </c>
      <c r="F46" s="56" t="inlineStr">
        <is>
          <t>-</t>
        </is>
      </c>
      <c r="G46" s="56" t="inlineStr">
        <is>
          <t>BLS</t>
        </is>
      </c>
      <c r="H46" s="56" t="inlineStr">
        <is>
          <t>PCI CA</t>
        </is>
      </c>
      <c r="I46" s="56" t="inlineStr">
        <is>
          <t>-</t>
        </is>
      </c>
      <c r="J46" s="56" t="inlineStr">
        <is>
          <t>3CNY0Z007ZZZ</t>
        </is>
      </c>
      <c r="K46" s="56" t="inlineStr">
        <is>
          <t>CN 12.5mg Tablet</t>
        </is>
      </c>
      <c r="L46" s="56" t="inlineStr">
        <is>
          <t>1/14</t>
        </is>
      </c>
      <c r="M46" s="56" t="inlineStr">
        <is>
          <t>BLS/TAB</t>
        </is>
      </c>
      <c r="N46" s="56" t="inlineStr">
        <is>
          <t>-</t>
        </is>
      </c>
      <c r="O46" s="56" t="inlineStr">
        <is>
          <t>1220</t>
        </is>
      </c>
      <c r="P46" s="56" t="inlineStr">
        <is>
          <t>V401</t>
        </is>
      </c>
      <c r="Q46" s="56" t="inlineStr">
        <is>
          <t>-</t>
        </is>
      </c>
      <c r="R46" s="56" t="inlineStr">
        <is>
          <t>-</t>
        </is>
      </c>
    </row>
    <row r="47" ht="22.35" customHeight="1" s="41">
      <c r="A47" s="56" t="inlineStr">
        <is>
          <t>3</t>
        </is>
      </c>
      <c r="B47" s="56" t="inlineStr">
        <is>
          <t>Semi-FP_Blister Strip</t>
        </is>
      </c>
      <c r="C47" s="56" t="inlineStr">
        <is>
          <t>4CNS1Z2001ZZ</t>
        </is>
      </c>
      <c r="D47" s="56" t="inlineStr">
        <is>
          <t>Cenobamate(US) 25mg_Blister_Strip B</t>
        </is>
      </c>
      <c r="E47" s="56" t="inlineStr">
        <is>
          <t>14285</t>
        </is>
      </c>
      <c r="F47" s="56" t="inlineStr">
        <is>
          <t>-</t>
        </is>
      </c>
      <c r="G47" s="56" t="inlineStr">
        <is>
          <t>BLS</t>
        </is>
      </c>
      <c r="H47" s="56" t="inlineStr">
        <is>
          <t>PCI CA</t>
        </is>
      </c>
      <c r="I47" s="56" t="inlineStr">
        <is>
          <t>-</t>
        </is>
      </c>
      <c r="J47" s="56" t="inlineStr">
        <is>
          <t>3CNY1Z001ZZZ</t>
        </is>
      </c>
      <c r="K47" s="56" t="inlineStr">
        <is>
          <t>US 25mg Tablet</t>
        </is>
      </c>
      <c r="L47" s="56" t="inlineStr">
        <is>
          <t>1/14</t>
        </is>
      </c>
      <c r="M47" s="56" t="inlineStr">
        <is>
          <t>BLS/TAB</t>
        </is>
      </c>
      <c r="N47" s="56" t="inlineStr">
        <is>
          <t>-</t>
        </is>
      </c>
      <c r="O47" s="56" t="inlineStr">
        <is>
          <t>1220</t>
        </is>
      </c>
      <c r="P47" s="56" t="inlineStr">
        <is>
          <t>V401</t>
        </is>
      </c>
      <c r="Q47" s="56" t="inlineStr">
        <is>
          <t>-</t>
        </is>
      </c>
      <c r="R47" s="56" t="inlineStr">
        <is>
          <t>-</t>
        </is>
      </c>
    </row>
    <row r="48" ht="22.35" customHeight="1" s="41">
      <c r="A48" s="56" t="inlineStr">
        <is>
          <t>3</t>
        </is>
      </c>
      <c r="B48" s="56" t="inlineStr">
        <is>
          <t>Semi-FP_Blister Strip</t>
        </is>
      </c>
      <c r="C48" s="56" t="inlineStr">
        <is>
          <t>4CNS2Z1001ZZ</t>
        </is>
      </c>
      <c r="D48" s="56" t="inlineStr">
        <is>
          <t>Cenobamate(US) 50mg_Blister_Strip C</t>
        </is>
      </c>
      <c r="E48" s="56" t="inlineStr">
        <is>
          <t>71428</t>
        </is>
      </c>
      <c r="F48" s="56" t="inlineStr">
        <is>
          <t>-</t>
        </is>
      </c>
      <c r="G48" s="56" t="inlineStr">
        <is>
          <t>BLS</t>
        </is>
      </c>
      <c r="H48" s="56" t="inlineStr">
        <is>
          <t>PCI CA</t>
        </is>
      </c>
      <c r="I48" s="56" t="inlineStr">
        <is>
          <t>-</t>
        </is>
      </c>
      <c r="J48" s="56" t="inlineStr">
        <is>
          <t>3CNY2Z001ZZZ</t>
        </is>
      </c>
      <c r="K48" s="56" t="inlineStr">
        <is>
          <t>US 50mg Tablet</t>
        </is>
      </c>
      <c r="L48" s="56" t="inlineStr">
        <is>
          <t>1/7</t>
        </is>
      </c>
      <c r="M48" s="56" t="inlineStr">
        <is>
          <t>BLS/TAB</t>
        </is>
      </c>
      <c r="N48" s="56" t="inlineStr">
        <is>
          <t>-</t>
        </is>
      </c>
      <c r="O48" s="56" t="inlineStr">
        <is>
          <t>1220</t>
        </is>
      </c>
      <c r="P48" s="56" t="inlineStr">
        <is>
          <t>V401</t>
        </is>
      </c>
      <c r="Q48" s="56" t="inlineStr">
        <is>
          <t>-</t>
        </is>
      </c>
      <c r="R48" s="56" t="inlineStr">
        <is>
          <t>-</t>
        </is>
      </c>
    </row>
    <row r="49" ht="22.35" customHeight="1" s="41">
      <c r="A49" s="56" t="inlineStr">
        <is>
          <t>3</t>
        </is>
      </c>
      <c r="B49" s="56" t="inlineStr">
        <is>
          <t>Semi-FP_Blister Strip</t>
        </is>
      </c>
      <c r="C49" s="56" t="inlineStr">
        <is>
          <t>4CNS3Z1001ZZ</t>
        </is>
      </c>
      <c r="D49" s="56" t="inlineStr">
        <is>
          <t>Cenobamate(US) 100mg_Blister_Strip D</t>
        </is>
      </c>
      <c r="E49" s="56" t="inlineStr">
        <is>
          <t>114285</t>
        </is>
      </c>
      <c r="F49" s="56" t="inlineStr">
        <is>
          <t>-</t>
        </is>
      </c>
      <c r="G49" s="56" t="inlineStr">
        <is>
          <t>BLS</t>
        </is>
      </c>
      <c r="H49" s="56" t="inlineStr">
        <is>
          <t>PCI CA</t>
        </is>
      </c>
      <c r="I49" s="56" t="inlineStr">
        <is>
          <t>-</t>
        </is>
      </c>
      <c r="J49" s="56" t="inlineStr">
        <is>
          <t>3CNY3Z001ZZZ</t>
        </is>
      </c>
      <c r="K49" s="56" t="inlineStr">
        <is>
          <t>US 100mg Tablet</t>
        </is>
      </c>
      <c r="L49" s="56" t="inlineStr">
        <is>
          <t>1/7</t>
        </is>
      </c>
      <c r="M49" s="56" t="inlineStr">
        <is>
          <t>BLS/TAB</t>
        </is>
      </c>
      <c r="N49" s="56" t="inlineStr">
        <is>
          <t>-</t>
        </is>
      </c>
      <c r="O49" s="56" t="inlineStr">
        <is>
          <t>1220</t>
        </is>
      </c>
      <c r="P49" s="56" t="inlineStr">
        <is>
          <t>V401</t>
        </is>
      </c>
      <c r="Q49" s="56" t="inlineStr">
        <is>
          <t>-</t>
        </is>
      </c>
      <c r="R49" s="56" t="inlineStr">
        <is>
          <t>-</t>
        </is>
      </c>
    </row>
    <row r="50" ht="22.35" customHeight="1" s="41">
      <c r="A50" s="56" t="inlineStr">
        <is>
          <t>3</t>
        </is>
      </c>
      <c r="B50" s="56" t="inlineStr">
        <is>
          <t>Semi-FP_Blister Strip</t>
        </is>
      </c>
      <c r="C50" s="56" t="inlineStr">
        <is>
          <t>4CNS4Z1001ZZ</t>
        </is>
      </c>
      <c r="D50" s="56" t="inlineStr">
        <is>
          <t>Cenobamate(US) 150mg_Blister_Strip E</t>
        </is>
      </c>
      <c r="E50" s="56" t="inlineStr">
        <is>
          <t>76190</t>
        </is>
      </c>
      <c r="F50" s="56" t="inlineStr">
        <is>
          <t>-</t>
        </is>
      </c>
      <c r="G50" s="56" t="inlineStr">
        <is>
          <t>BLS</t>
        </is>
      </c>
      <c r="H50" s="56" t="inlineStr">
        <is>
          <t>PCI CA</t>
        </is>
      </c>
      <c r="I50" s="56" t="inlineStr">
        <is>
          <t>-</t>
        </is>
      </c>
      <c r="J50" s="56" t="inlineStr">
        <is>
          <t>3CNY4Z001ZZZ</t>
        </is>
      </c>
      <c r="K50" s="56" t="inlineStr">
        <is>
          <t>US 150mg Tablet</t>
        </is>
      </c>
      <c r="L50" s="56" t="inlineStr">
        <is>
          <t>1/7</t>
        </is>
      </c>
      <c r="M50" s="56" t="inlineStr">
        <is>
          <t>BLS/TAB</t>
        </is>
      </c>
      <c r="N50" s="56" t="inlineStr">
        <is>
          <t>-</t>
        </is>
      </c>
      <c r="O50" s="56" t="inlineStr">
        <is>
          <t>1220</t>
        </is>
      </c>
      <c r="P50" s="56" t="inlineStr">
        <is>
          <t>V401</t>
        </is>
      </c>
      <c r="Q50" s="56" t="inlineStr">
        <is>
          <t>-</t>
        </is>
      </c>
      <c r="R50" s="56" t="inlineStr">
        <is>
          <t>-</t>
        </is>
      </c>
    </row>
    <row r="51" ht="22.35" customHeight="1" s="41">
      <c r="A51" s="56" t="inlineStr">
        <is>
          <t>3</t>
        </is>
      </c>
      <c r="B51" s="56" t="inlineStr">
        <is>
          <t>Semi-FP_Blister Strip</t>
        </is>
      </c>
      <c r="C51" s="56" t="inlineStr">
        <is>
          <t>4CNS5Z1001ZZ</t>
        </is>
      </c>
      <c r="D51" s="56" t="inlineStr">
        <is>
          <t>Cenobamate(US) 200mg_Blister_Strip F</t>
        </is>
      </c>
      <c r="E51" s="56" t="inlineStr">
        <is>
          <t>57142</t>
        </is>
      </c>
      <c r="F51" s="56" t="inlineStr">
        <is>
          <t>-</t>
        </is>
      </c>
      <c r="G51" s="56" t="inlineStr">
        <is>
          <t>BLS</t>
        </is>
      </c>
      <c r="H51" s="56" t="inlineStr">
        <is>
          <t>PCI CA</t>
        </is>
      </c>
      <c r="I51" s="56" t="inlineStr">
        <is>
          <t>-</t>
        </is>
      </c>
      <c r="J51" s="56" t="inlineStr">
        <is>
          <t>3CNY5Z001ZZZ</t>
        </is>
      </c>
      <c r="K51" s="56" t="inlineStr">
        <is>
          <t>US 200mg Tablet</t>
        </is>
      </c>
      <c r="L51" s="56" t="inlineStr">
        <is>
          <t>1/7</t>
        </is>
      </c>
      <c r="M51" s="56" t="inlineStr">
        <is>
          <t>BLS/TAB</t>
        </is>
      </c>
      <c r="N51" s="56" t="inlineStr">
        <is>
          <t>-</t>
        </is>
      </c>
      <c r="O51" s="56" t="inlineStr">
        <is>
          <t>1220</t>
        </is>
      </c>
      <c r="P51" s="56" t="inlineStr">
        <is>
          <t>V401</t>
        </is>
      </c>
      <c r="Q51" s="56" t="inlineStr">
        <is>
          <t>-</t>
        </is>
      </c>
      <c r="R51" s="56" t="inlineStr">
        <is>
          <t>-</t>
        </is>
      </c>
    </row>
    <row r="52" ht="26.85" customHeight="1" s="41">
      <c r="A52" s="56" t="inlineStr">
        <is>
          <t>4</t>
        </is>
      </c>
      <c r="B52" s="56" t="inlineStr">
        <is>
          <t>FP_Bottle</t>
        </is>
      </c>
      <c r="C52" s="56" t="inlineStr">
        <is>
          <t>5CNB1ZAA1ZZZ</t>
        </is>
      </c>
      <c r="D52" s="56" t="inlineStr">
        <is>
          <t>Cenobamate(US) 25mg_Bottle_30ct</t>
        </is>
      </c>
      <c r="E52" s="56" t="inlineStr">
        <is>
          <t>13333</t>
        </is>
      </c>
      <c r="F52" s="56" t="inlineStr">
        <is>
          <t>-</t>
        </is>
      </c>
      <c r="G52" s="56" t="inlineStr">
        <is>
          <t>BTL</t>
        </is>
      </c>
      <c r="H52" s="56" t="inlineStr">
        <is>
          <t>Patheon</t>
        </is>
      </c>
      <c r="I52" s="56" t="inlineStr">
        <is>
          <t>-</t>
        </is>
      </c>
      <c r="J52" s="56" t="inlineStr">
        <is>
          <t>3CNY1Z001ZZZ
4CNR1ZA001ZZ</t>
        </is>
      </c>
      <c r="K52" s="56" t="inlineStr">
        <is>
          <t>US 25mg Tablet
US 25mg Britestock</t>
        </is>
      </c>
      <c r="L52" s="56" t="inlineStr">
        <is>
          <t>1/30</t>
        </is>
      </c>
      <c r="M52" s="56" t="inlineStr">
        <is>
          <t>BTL/TAB</t>
        </is>
      </c>
      <c r="N52" s="56" t="inlineStr">
        <is>
          <t>Patheon만 제조 (PCI US 미제조)</t>
        </is>
      </c>
      <c r="O52" s="56" t="inlineStr">
        <is>
          <t>1210</t>
        </is>
      </c>
      <c r="P52" s="56" t="inlineStr">
        <is>
          <t>V501</t>
        </is>
      </c>
      <c r="Q52" s="56" t="inlineStr">
        <is>
          <t>-</t>
        </is>
      </c>
      <c r="R52" s="56" t="inlineStr">
        <is>
          <t>-</t>
        </is>
      </c>
      <c r="S52" s="40" t="inlineStr">
        <is>
          <t>3CNY1Z001ZZZ:ROUTE_DIRECT|4CNR1ZA001ZZ:ROUTE_VIA_BRITESTOCK</t>
        </is>
      </c>
      <c r="T52" s="40" t="inlineStr">
        <is>
          <t>OR 대체경로: ROUTE_DIRECT(Tablet→Bottle 직접) 또는 ROUTE_VIA_BRITESTOCK(Tablet→Britestock→Bottle). 실측에 따라 택1.</t>
        </is>
      </c>
    </row>
    <row r="53" ht="22.35" customHeight="1" s="41">
      <c r="A53" s="56" t="inlineStr">
        <is>
          <t>4</t>
        </is>
      </c>
      <c r="B53" s="56" t="inlineStr">
        <is>
          <t>FP_Bottle</t>
        </is>
      </c>
      <c r="C53" s="56" t="inlineStr">
        <is>
          <t>5CNB2ZAA1SZZ</t>
        </is>
      </c>
      <c r="D53" s="56" t="inlineStr">
        <is>
          <t>Cenobamate(USA) B1 Physician Samples(30)</t>
        </is>
      </c>
      <c r="E53" s="56" t="inlineStr">
        <is>
          <t>16666</t>
        </is>
      </c>
      <c r="F53" s="56" t="inlineStr">
        <is>
          <t>-</t>
        </is>
      </c>
      <c r="G53" s="56" t="inlineStr">
        <is>
          <t>BTL</t>
        </is>
      </c>
      <c r="H53" s="56" t="inlineStr">
        <is>
          <t>Patheon</t>
        </is>
      </c>
      <c r="I53" s="56" t="inlineStr">
        <is>
          <t>-</t>
        </is>
      </c>
      <c r="J53" s="56" t="inlineStr">
        <is>
          <t>3CNY2Z001ZZZ
4CNR2ZA001ZZ</t>
        </is>
      </c>
      <c r="K53" s="56" t="inlineStr">
        <is>
          <t>US 50mg Tablet
US 50mg Britestock</t>
        </is>
      </c>
      <c r="L53" s="56" t="inlineStr">
        <is>
          <t>1/30</t>
        </is>
      </c>
      <c r="M53" s="56" t="inlineStr">
        <is>
          <t>BTL/TAB</t>
        </is>
      </c>
      <c r="N53" s="56" t="inlineStr">
        <is>
          <t>Physician Sample</t>
        </is>
      </c>
      <c r="O53" s="56" t="inlineStr">
        <is>
          <t>1210</t>
        </is>
      </c>
      <c r="P53" s="56" t="inlineStr">
        <is>
          <t>V501</t>
        </is>
      </c>
      <c r="Q53" s="56" t="inlineStr">
        <is>
          <t>-</t>
        </is>
      </c>
      <c r="R53" s="56" t="inlineStr">
        <is>
          <t>-</t>
        </is>
      </c>
      <c r="S53" s="40" t="inlineStr">
        <is>
          <t>3CNY2Z001ZZZ:ROUTE_DIRECT|4CNR2ZA001ZZ:ROUTE_VIA_BRITESTOCK</t>
        </is>
      </c>
      <c r="T53" s="40" t="inlineStr">
        <is>
          <t>OR 대체경로: ROUTE_DIRECT(Tablet→Sample 직접) 또는 ROUTE_VIA_BRITESTOCK(Tablet→Britestock→Sample). 실측에 따라 택1.</t>
        </is>
      </c>
    </row>
    <row r="54" ht="26.85" customHeight="1" s="41">
      <c r="A54" s="56" t="inlineStr">
        <is>
          <t>4</t>
        </is>
      </c>
      <c r="B54" s="56" t="inlineStr">
        <is>
          <t>FP_Bottle</t>
        </is>
      </c>
      <c r="C54" s="56" t="inlineStr">
        <is>
          <t>5CNB2ZAA1ZZZ</t>
        </is>
      </c>
      <c r="D54" s="56" t="inlineStr">
        <is>
          <t>Cenobamate(US) B1_50mg_Bottle_30ct</t>
        </is>
      </c>
      <c r="E54" s="56" t="inlineStr">
        <is>
          <t>16666</t>
        </is>
      </c>
      <c r="F54" s="56" t="inlineStr">
        <is>
          <t>-</t>
        </is>
      </c>
      <c r="G54" s="56" t="inlineStr">
        <is>
          <t>BTL</t>
        </is>
      </c>
      <c r="H54" s="56" t="inlineStr">
        <is>
          <t>Patheon</t>
        </is>
      </c>
      <c r="I54" s="56" t="inlineStr">
        <is>
          <t>PCI US</t>
        </is>
      </c>
      <c r="J54" s="56" t="inlineStr">
        <is>
          <t>3CNY2Z001ZZZ
4CNR2ZA001ZZ</t>
        </is>
      </c>
      <c r="K54" s="56" t="inlineStr">
        <is>
          <t>US 50mg Tablet
US 50mg Britestock</t>
        </is>
      </c>
      <c r="L54" s="56" t="inlineStr">
        <is>
          <t>1/30</t>
        </is>
      </c>
      <c r="M54" s="56" t="inlineStr">
        <is>
          <t>BTL/TAB</t>
        </is>
      </c>
      <c r="N54" s="56" t="inlineStr">
        <is>
          <t>PCI US: Avara 제조 Tablet만 포장</t>
        </is>
      </c>
      <c r="O54" s="56" t="inlineStr">
        <is>
          <t>1210</t>
        </is>
      </c>
      <c r="P54" s="56" t="inlineStr">
        <is>
          <t>V501</t>
        </is>
      </c>
      <c r="Q54" s="56" t="inlineStr">
        <is>
          <t>1230</t>
        </is>
      </c>
      <c r="R54" s="56" t="inlineStr">
        <is>
          <t>V501</t>
        </is>
      </c>
      <c r="S54" s="40" t="inlineStr">
        <is>
          <t>3CNY2Z001ZZZ:ROUTE_DIRECT|4CNR2ZA001ZZ:ROUTE_VIA_BRITESTOCK</t>
        </is>
      </c>
      <c r="T54" s="40" t="inlineStr">
        <is>
          <t>OR 대체경로: ROUTE_DIRECT(Tablet→Bottle 직접) 또는 ROUTE_VIA_BRITESTOCK(Tablet→Britestock→Bottle). 실측에 따라 택1.</t>
        </is>
      </c>
    </row>
    <row r="55" ht="32.8" customHeight="1" s="41">
      <c r="A55" s="56" t="inlineStr">
        <is>
          <t>4</t>
        </is>
      </c>
      <c r="B55" s="56" t="inlineStr">
        <is>
          <t>FP_Bottle</t>
        </is>
      </c>
      <c r="C55" s="56" t="inlineStr">
        <is>
          <t>5CNB2ZAA1ZZZ</t>
        </is>
      </c>
      <c r="D55" s="56" t="inlineStr">
        <is>
          <t>Cenobamate(US) B1_50mg_Bottle_30ct [Scale-up]</t>
        </is>
      </c>
      <c r="E55" s="56" t="inlineStr">
        <is>
          <t>26666</t>
        </is>
      </c>
      <c r="F55" s="56" t="inlineStr">
        <is>
          <t>-</t>
        </is>
      </c>
      <c r="G55" s="56" t="inlineStr">
        <is>
          <t>-</t>
        </is>
      </c>
      <c r="H55" s="56" t="inlineStr">
        <is>
          <t>Patheon</t>
        </is>
      </c>
      <c r="I55" s="56" t="inlineStr">
        <is>
          <t>-</t>
        </is>
      </c>
      <c r="J55" s="56" t="inlineStr">
        <is>
          <t>3CNY2Z001ZZZ
4CNR2ZA001ZZ</t>
        </is>
      </c>
      <c r="K55" s="56" t="inlineStr">
        <is>
          <t>US 50mg Tablet
US 50mg Britestock</t>
        </is>
      </c>
      <c r="L55" s="56" t="inlineStr">
        <is>
          <t>1/30</t>
        </is>
      </c>
      <c r="M55" s="56" t="inlineStr">
        <is>
          <t>BTL/TAB</t>
        </is>
      </c>
      <c r="N55" s="56" t="inlineStr">
        <is>
          <t>Scale-up, SAP 코드 동일</t>
        </is>
      </c>
      <c r="O55" s="56" t="inlineStr">
        <is>
          <t>1210</t>
        </is>
      </c>
      <c r="P55" s="56" t="inlineStr">
        <is>
          <t>V501</t>
        </is>
      </c>
      <c r="Q55" s="56" t="inlineStr">
        <is>
          <t>-</t>
        </is>
      </c>
      <c r="R55" s="56" t="inlineStr">
        <is>
          <t>-</t>
        </is>
      </c>
      <c r="S55" s="40" t="inlineStr">
        <is>
          <t>3CNY2Z001ZZZ:ROUTE_DIRECT|4CNR2ZA001ZZ:ROUTE_VIA_BRITESTOCK</t>
        </is>
      </c>
      <c r="T55" s="40" t="inlineStr">
        <is>
          <t>OR 대체경로: ROUTE_DIRECT(Tablet→Bottle 직접) 또는 ROUTE_VIA_BRITESTOCK(Tablet→Britestock→Bottle). 실측에 따라 택1.</t>
        </is>
      </c>
    </row>
    <row r="56" ht="22.35" customHeight="1" s="41">
      <c r="A56" s="56" t="inlineStr">
        <is>
          <t>4</t>
        </is>
      </c>
      <c r="B56" s="56" t="inlineStr">
        <is>
          <t>FP_Bottle</t>
        </is>
      </c>
      <c r="C56" s="56" t="inlineStr">
        <is>
          <t>5CNB2ZAE3ZZZ</t>
        </is>
      </c>
      <c r="D56" s="56" t="inlineStr">
        <is>
          <t>Cenobamate(CN) 50mg_Bottle_30ct</t>
        </is>
      </c>
      <c r="E56" s="56" t="inlineStr">
        <is>
          <t>16666</t>
        </is>
      </c>
      <c r="F56" s="56" t="inlineStr">
        <is>
          <t>-</t>
        </is>
      </c>
      <c r="G56" s="56" t="inlineStr">
        <is>
          <t>BTL</t>
        </is>
      </c>
      <c r="H56" s="56" t="inlineStr">
        <is>
          <t>Patheon</t>
        </is>
      </c>
      <c r="I56" s="56" t="inlineStr">
        <is>
          <t>-</t>
        </is>
      </c>
      <c r="J56" s="56" t="inlineStr">
        <is>
          <t>3CNY2Z007ZZZ</t>
        </is>
      </c>
      <c r="K56" s="56" t="inlineStr">
        <is>
          <t>CN 50mg Tablet</t>
        </is>
      </c>
      <c r="L56" s="56" t="inlineStr">
        <is>
          <t>1/30</t>
        </is>
      </c>
      <c r="M56" s="56" t="inlineStr">
        <is>
          <t>BTL/TAB</t>
        </is>
      </c>
      <c r="N56" s="56" t="inlineStr">
        <is>
          <t>-</t>
        </is>
      </c>
      <c r="O56" s="56" t="inlineStr">
        <is>
          <t>1210</t>
        </is>
      </c>
      <c r="P56" s="56" t="inlineStr">
        <is>
          <t>V501</t>
        </is>
      </c>
      <c r="Q56" s="56" t="inlineStr">
        <is>
          <t>-</t>
        </is>
      </c>
      <c r="R56" s="56" t="inlineStr">
        <is>
          <t>-</t>
        </is>
      </c>
      <c r="S56" s="40" t="inlineStr">
        <is>
          <t>3CNY2Z007ZZZ:ROUTE_DIRECT</t>
        </is>
      </c>
      <c r="T56" s="40" t="inlineStr">
        <is>
          <t>단일경로: Tablet→Bottle 직접</t>
        </is>
      </c>
    </row>
    <row r="57" ht="32.8" customHeight="1" s="41">
      <c r="A57" s="56" t="inlineStr">
        <is>
          <t>4</t>
        </is>
      </c>
      <c r="B57" s="56" t="inlineStr">
        <is>
          <t>FP_Bottle</t>
        </is>
      </c>
      <c r="C57" s="56" t="inlineStr">
        <is>
          <t>5CNB2ZAE3ZZZ</t>
        </is>
      </c>
      <c r="D57" s="56" t="inlineStr">
        <is>
          <t>Cenobamate(CN) 50mg_Bottle_30ct [Scale-up]</t>
        </is>
      </c>
      <c r="E57" s="56" t="inlineStr">
        <is>
          <t>26666</t>
        </is>
      </c>
      <c r="F57" s="56" t="inlineStr">
        <is>
          <t>-</t>
        </is>
      </c>
      <c r="G57" s="56" t="inlineStr">
        <is>
          <t>-</t>
        </is>
      </c>
      <c r="H57" s="56" t="inlineStr">
        <is>
          <t>Patheon</t>
        </is>
      </c>
      <c r="I57" s="56" t="inlineStr">
        <is>
          <t>-</t>
        </is>
      </c>
      <c r="J57" s="56" t="inlineStr">
        <is>
          <t>3CNY2Z007ZZZ</t>
        </is>
      </c>
      <c r="K57" s="56" t="inlineStr">
        <is>
          <t>CN 50mg Tablet</t>
        </is>
      </c>
      <c r="L57" s="56" t="inlineStr">
        <is>
          <t>1/30</t>
        </is>
      </c>
      <c r="M57" s="56" t="inlineStr">
        <is>
          <t>BTL/TAB</t>
        </is>
      </c>
      <c r="N57" s="56" t="inlineStr">
        <is>
          <t>Scale-up, SAP 코드 동일</t>
        </is>
      </c>
      <c r="O57" s="56" t="inlineStr">
        <is>
          <t>1210</t>
        </is>
      </c>
      <c r="P57" s="56" t="inlineStr">
        <is>
          <t>V501</t>
        </is>
      </c>
      <c r="Q57" s="56" t="inlineStr">
        <is>
          <t>-</t>
        </is>
      </c>
      <c r="R57" s="56" t="inlineStr">
        <is>
          <t>-</t>
        </is>
      </c>
      <c r="S57" s="40" t="inlineStr">
        <is>
          <t>3CNY2Z007ZZZ:ROUTE_DIRECT</t>
        </is>
      </c>
      <c r="T57" s="40" t="inlineStr">
        <is>
          <t>단일경로: Tablet→Bottle 직접</t>
        </is>
      </c>
    </row>
    <row r="58" ht="26.85" customHeight="1" s="41">
      <c r="A58" s="56" t="inlineStr">
        <is>
          <t>4</t>
        </is>
      </c>
      <c r="B58" s="56" t="inlineStr">
        <is>
          <t>FP_Bottle</t>
        </is>
      </c>
      <c r="C58" s="56" t="inlineStr">
        <is>
          <t>5CNB3ZAA1ZZZ</t>
        </is>
      </c>
      <c r="D58" s="56" t="inlineStr">
        <is>
          <t>Cenobamate(US) B2_100mg_Bottle_30ct</t>
        </is>
      </c>
      <c r="E58" s="56" t="inlineStr">
        <is>
          <t>26666</t>
        </is>
      </c>
      <c r="F58" s="56" t="inlineStr">
        <is>
          <t>-</t>
        </is>
      </c>
      <c r="G58" s="56" t="inlineStr">
        <is>
          <t>BTL</t>
        </is>
      </c>
      <c r="H58" s="56" t="inlineStr">
        <is>
          <t>Patheon</t>
        </is>
      </c>
      <c r="I58" s="56" t="inlineStr">
        <is>
          <t>PCI US</t>
        </is>
      </c>
      <c r="J58" s="56" t="inlineStr">
        <is>
          <t>3CNY3Z001ZZZ
4CNR3ZA001ZZ</t>
        </is>
      </c>
      <c r="K58" s="56" t="inlineStr">
        <is>
          <t>US 100mg Tablet
US 100mg Britestock</t>
        </is>
      </c>
      <c r="L58" s="56" t="inlineStr">
        <is>
          <t>1/30</t>
        </is>
      </c>
      <c r="M58" s="56" t="inlineStr">
        <is>
          <t>BTL/TAB</t>
        </is>
      </c>
      <c r="N58" s="56" t="inlineStr">
        <is>
          <t>PCI US: Avara 제조 Tablet만 포장</t>
        </is>
      </c>
      <c r="O58" s="56" t="inlineStr">
        <is>
          <t>1210</t>
        </is>
      </c>
      <c r="P58" s="56" t="inlineStr">
        <is>
          <t>V501</t>
        </is>
      </c>
      <c r="Q58" s="56" t="inlineStr">
        <is>
          <t>1230</t>
        </is>
      </c>
      <c r="R58" s="56" t="inlineStr">
        <is>
          <t>V501</t>
        </is>
      </c>
      <c r="S58" s="40" t="inlineStr">
        <is>
          <t>3CNY3Z001ZZZ:ROUTE_DIRECT|4CNR3ZA001ZZ:ROUTE_VIA_BRITESTOCK</t>
        </is>
      </c>
      <c r="T58" s="40" t="inlineStr">
        <is>
          <t>OR 대체경로: ROUTE_DIRECT(Tablet→Bottle 직접) 또는 ROUTE_VIA_BRITESTOCK(Tablet→Britestock→Bottle). 실측에 따라 택1.</t>
        </is>
      </c>
    </row>
    <row r="59" ht="26.85" customHeight="1" s="41">
      <c r="A59" s="56" t="inlineStr">
        <is>
          <t>4</t>
        </is>
      </c>
      <c r="B59" s="56" t="inlineStr">
        <is>
          <t>FP_Bottle</t>
        </is>
      </c>
      <c r="C59" s="56" t="inlineStr">
        <is>
          <t>5CNB4ZAA1ZZZ</t>
        </is>
      </c>
      <c r="D59" s="56" t="inlineStr">
        <is>
          <t>Cenobamate(US) B3_150mg_Bottle_30ct</t>
        </is>
      </c>
      <c r="E59" s="56" t="inlineStr">
        <is>
          <t>17777</t>
        </is>
      </c>
      <c r="F59" s="56" t="inlineStr">
        <is>
          <t>-</t>
        </is>
      </c>
      <c r="G59" s="56" t="inlineStr">
        <is>
          <t>BTL</t>
        </is>
      </c>
      <c r="H59" s="56" t="inlineStr">
        <is>
          <t>Patheon</t>
        </is>
      </c>
      <c r="I59" s="56" t="inlineStr">
        <is>
          <t>PCI US</t>
        </is>
      </c>
      <c r="J59" s="56" t="inlineStr">
        <is>
          <t>3CNY4Z001ZZZ
4CNR4ZA001ZZ</t>
        </is>
      </c>
      <c r="K59" s="56" t="inlineStr">
        <is>
          <t>US 150mg Tablet
US 150mg Britestock</t>
        </is>
      </c>
      <c r="L59" s="56" t="inlineStr">
        <is>
          <t>1/30</t>
        </is>
      </c>
      <c r="M59" s="56" t="inlineStr">
        <is>
          <t>BTL/TAB</t>
        </is>
      </c>
      <c r="N59" s="56" t="inlineStr">
        <is>
          <t>PCI US: Avara 제조 Tablet만 포장</t>
        </is>
      </c>
      <c r="O59" s="56" t="inlineStr">
        <is>
          <t>1210</t>
        </is>
      </c>
      <c r="P59" s="56" t="inlineStr">
        <is>
          <t>V501</t>
        </is>
      </c>
      <c r="Q59" s="56" t="inlineStr">
        <is>
          <t>1230</t>
        </is>
      </c>
      <c r="R59" s="56" t="inlineStr">
        <is>
          <t>V501</t>
        </is>
      </c>
      <c r="S59" s="40" t="inlineStr">
        <is>
          <t>3CNY4Z001ZZZ:ROUTE_DIRECT|4CNR4ZA001ZZ:ROUTE_VIA_BRITESTOCK</t>
        </is>
      </c>
      <c r="T59" s="40" t="inlineStr">
        <is>
          <t>OR 대체경로: ROUTE_DIRECT(Tablet→Bottle 직접) 또는 ROUTE_VIA_BRITESTOCK(Tablet→Britestock→Bottle). 실측에 따라 택1.</t>
        </is>
      </c>
    </row>
    <row r="60" ht="26.85" customHeight="1" s="41">
      <c r="A60" s="56" t="inlineStr">
        <is>
          <t>4</t>
        </is>
      </c>
      <c r="B60" s="56" t="inlineStr">
        <is>
          <t>FP_Bottle</t>
        </is>
      </c>
      <c r="C60" s="56" t="inlineStr">
        <is>
          <t>5CNB5ZAA1ZZZ</t>
        </is>
      </c>
      <c r="D60" s="56" t="inlineStr">
        <is>
          <t>Cenobamate(US) B4_200mg_Bottle_30ct</t>
        </is>
      </c>
      <c r="E60" s="56" t="inlineStr">
        <is>
          <t>13333</t>
        </is>
      </c>
      <c r="F60" s="56" t="inlineStr">
        <is>
          <t>-</t>
        </is>
      </c>
      <c r="G60" s="56" t="inlineStr">
        <is>
          <t>BTL</t>
        </is>
      </c>
      <c r="H60" s="56" t="inlineStr">
        <is>
          <t>Patheon</t>
        </is>
      </c>
      <c r="I60" s="56" t="inlineStr">
        <is>
          <t>PCI US</t>
        </is>
      </c>
      <c r="J60" s="56" t="inlineStr">
        <is>
          <t>3CNY5Z001ZZZ
4CNR5ZA001ZZ</t>
        </is>
      </c>
      <c r="K60" s="56" t="inlineStr">
        <is>
          <t>US 200mg Tablet
US 200mg Britestock</t>
        </is>
      </c>
      <c r="L60" s="56" t="inlineStr">
        <is>
          <t>1/30</t>
        </is>
      </c>
      <c r="M60" s="56" t="inlineStr">
        <is>
          <t>BTL/TAB</t>
        </is>
      </c>
      <c r="N60" s="56" t="inlineStr">
        <is>
          <t>PCI US: Avara 제조 Tablet만 포장</t>
        </is>
      </c>
      <c r="O60" s="56" t="inlineStr">
        <is>
          <t>1210</t>
        </is>
      </c>
      <c r="P60" s="56" t="inlineStr">
        <is>
          <t>V501</t>
        </is>
      </c>
      <c r="Q60" s="56" t="inlineStr">
        <is>
          <t>1230</t>
        </is>
      </c>
      <c r="R60" s="56" t="inlineStr">
        <is>
          <t>V501</t>
        </is>
      </c>
      <c r="S60" s="40" t="inlineStr">
        <is>
          <t>3CNY5Z001ZZZ:ROUTE_DIRECT|4CNR5ZA001ZZ:ROUTE_VIA_BRITESTOCK</t>
        </is>
      </c>
      <c r="T60" s="40" t="inlineStr">
        <is>
          <t>OR 대체경로: ROUTE_DIRECT(Tablet→Bottle 직접) 또는 ROUTE_VIA_BRITESTOCK(Tablet→Britestock→Bottle). 실측에 따라 택1.</t>
        </is>
      </c>
    </row>
    <row r="61" ht="32.8" customHeight="1" s="41">
      <c r="A61" s="56" t="inlineStr">
        <is>
          <t>4</t>
        </is>
      </c>
      <c r="B61" s="56" t="inlineStr">
        <is>
          <t>FP_Blister Card</t>
        </is>
      </c>
      <c r="C61" s="56" t="inlineStr">
        <is>
          <t>5CNT014A1SZZ</t>
        </is>
      </c>
      <c r="D61" s="56" t="inlineStr">
        <is>
          <t>Cenobamate TP1_Physician Sample(12.5X25)</t>
        </is>
      </c>
      <c r="E61" s="56" t="inlineStr">
        <is>
          <t>3000</t>
        </is>
      </c>
      <c r="F61" s="56" t="inlineStr">
        <is>
          <t>-</t>
        </is>
      </c>
      <c r="G61" s="56" t="inlineStr">
        <is>
          <t>PAK</t>
        </is>
      </c>
      <c r="H61" s="56" t="inlineStr">
        <is>
          <t>PCI CA</t>
        </is>
      </c>
      <c r="I61" s="56" t="inlineStr">
        <is>
          <t>-</t>
        </is>
      </c>
      <c r="J61" s="56" t="inlineStr">
        <is>
          <t>4CNS0Z2001ZZ
4CNS1Z2001ZZ</t>
        </is>
      </c>
      <c r="K61" s="56" t="inlineStr">
        <is>
          <t>12.5mg Strip A
25mg Strip B</t>
        </is>
      </c>
      <c r="L61" s="56" t="inlineStr">
        <is>
          <t>1+1</t>
        </is>
      </c>
      <c r="M61" s="56" t="inlineStr">
        <is>
          <t>Strip/PAK</t>
        </is>
      </c>
      <c r="N61" s="56" t="inlineStr">
        <is>
          <t>Physician Sample</t>
        </is>
      </c>
      <c r="O61" s="56" t="inlineStr">
        <is>
          <t>1220</t>
        </is>
      </c>
      <c r="P61" s="56" t="inlineStr">
        <is>
          <t>V501</t>
        </is>
      </c>
      <c r="Q61" s="56" t="inlineStr">
        <is>
          <t>-</t>
        </is>
      </c>
      <c r="R61" s="56" t="inlineStr">
        <is>
          <t>-</t>
        </is>
      </c>
    </row>
    <row r="62" ht="32.8" customHeight="1" s="41">
      <c r="A62" s="56" t="inlineStr">
        <is>
          <t>4</t>
        </is>
      </c>
      <c r="B62" s="56" t="inlineStr">
        <is>
          <t>FP_Blister Card</t>
        </is>
      </c>
      <c r="C62" s="56" t="inlineStr">
        <is>
          <t>5CNT014A1ZZZ</t>
        </is>
      </c>
      <c r="D62" s="56" t="inlineStr">
        <is>
          <t>Cenobamate(US) T1_Pack (12.5mg X 25mg)</t>
        </is>
      </c>
      <c r="E62" s="56" t="inlineStr">
        <is>
          <t>3000</t>
        </is>
      </c>
      <c r="F62" s="56" t="inlineStr">
        <is>
          <t>-</t>
        </is>
      </c>
      <c r="G62" s="56" t="inlineStr">
        <is>
          <t>PAK</t>
        </is>
      </c>
      <c r="H62" s="56" t="inlineStr">
        <is>
          <t>PCI CA</t>
        </is>
      </c>
      <c r="I62" s="56" t="inlineStr">
        <is>
          <t>-</t>
        </is>
      </c>
      <c r="J62" s="56" t="inlineStr">
        <is>
          <t>4CNS0Z2001ZZ
4CNS1Z2001ZZ</t>
        </is>
      </c>
      <c r="K62" s="56" t="inlineStr">
        <is>
          <t>12.5mg Strip A
25mg Strip B</t>
        </is>
      </c>
      <c r="L62" s="56" t="inlineStr">
        <is>
          <t>1+1</t>
        </is>
      </c>
      <c r="M62" s="56" t="inlineStr">
        <is>
          <t>Strip/PAK</t>
        </is>
      </c>
      <c r="N62" s="56" t="inlineStr">
        <is>
          <t>Titration Pack</t>
        </is>
      </c>
      <c r="O62" s="56" t="inlineStr">
        <is>
          <t>1220</t>
        </is>
      </c>
      <c r="P62" s="56" t="inlineStr">
        <is>
          <t>V501</t>
        </is>
      </c>
      <c r="Q62" s="56" t="inlineStr">
        <is>
          <t>-</t>
        </is>
      </c>
      <c r="R62" s="56" t="inlineStr">
        <is>
          <t>-</t>
        </is>
      </c>
    </row>
    <row r="63" ht="22.35" customHeight="1" s="41">
      <c r="A63" s="56" t="inlineStr">
        <is>
          <t>4</t>
        </is>
      </c>
      <c r="B63" s="56" t="inlineStr">
        <is>
          <t>FP_Blister Card</t>
        </is>
      </c>
      <c r="C63" s="56" t="inlineStr">
        <is>
          <t>5CNT0Z2E3ZZZ</t>
        </is>
      </c>
      <c r="D63" s="56" t="inlineStr">
        <is>
          <t>Cenobamate(CN) 12.5mg_Pack</t>
        </is>
      </c>
      <c r="E63" s="56" t="inlineStr">
        <is>
          <t>28571</t>
        </is>
      </c>
      <c r="F63" s="56" t="inlineStr">
        <is>
          <t>-</t>
        </is>
      </c>
      <c r="G63" s="56" t="inlineStr">
        <is>
          <t>PAK</t>
        </is>
      </c>
      <c r="H63" s="56" t="inlineStr">
        <is>
          <t>PCI CA</t>
        </is>
      </c>
      <c r="I63" s="56" t="inlineStr">
        <is>
          <t>-</t>
        </is>
      </c>
      <c r="J63" s="56" t="inlineStr">
        <is>
          <t>4CNS0Z2007ZZ
4CNS0Z2007ZZ</t>
        </is>
      </c>
      <c r="K63" s="56" t="inlineStr">
        <is>
          <t>CN 12.5mg Strip
CN 12.5mg Strip</t>
        </is>
      </c>
      <c r="L63" s="56" t="inlineStr">
        <is>
          <t>1+1</t>
        </is>
      </c>
      <c r="M63" s="56" t="inlineStr">
        <is>
          <t>Strip/PAK</t>
        </is>
      </c>
      <c r="N63" s="56" t="inlineStr">
        <is>
          <t>-</t>
        </is>
      </c>
      <c r="O63" s="56" t="inlineStr">
        <is>
          <t>1220</t>
        </is>
      </c>
      <c r="P63" s="56" t="inlineStr">
        <is>
          <t>V501</t>
        </is>
      </c>
      <c r="Q63" s="56" t="inlineStr">
        <is>
          <t>-</t>
        </is>
      </c>
      <c r="R63" s="56" t="inlineStr">
        <is>
          <t>-</t>
        </is>
      </c>
    </row>
    <row r="64" ht="32.8" customHeight="1" s="41">
      <c r="A64" s="56" t="inlineStr">
        <is>
          <t>4</t>
        </is>
      </c>
      <c r="B64" s="56" t="inlineStr">
        <is>
          <t>FP_Blister Card</t>
        </is>
      </c>
      <c r="C64" s="56" t="inlineStr">
        <is>
          <t>5CNT234A1ZZZ</t>
        </is>
      </c>
      <c r="D64" s="56" t="inlineStr">
        <is>
          <t>Cenobamate(US) T2_Pack (50mg X 100mg)</t>
        </is>
      </c>
      <c r="E64" s="56" t="inlineStr">
        <is>
          <t>3000</t>
        </is>
      </c>
      <c r="F64" s="56" t="inlineStr">
        <is>
          <t>-</t>
        </is>
      </c>
      <c r="G64" s="56" t="inlineStr">
        <is>
          <t>PAK</t>
        </is>
      </c>
      <c r="H64" s="56" t="inlineStr">
        <is>
          <t>PCI CA</t>
        </is>
      </c>
      <c r="I64" s="56" t="inlineStr">
        <is>
          <t>-</t>
        </is>
      </c>
      <c r="J64" s="56" t="inlineStr">
        <is>
          <t>4CNS2Z1001ZZ
4CNS3Z1001ZZ</t>
        </is>
      </c>
      <c r="K64" s="56" t="inlineStr">
        <is>
          <t>50mg Strip C
100mg Strip D</t>
        </is>
      </c>
      <c r="L64" s="56" t="inlineStr">
        <is>
          <t>2+2</t>
        </is>
      </c>
      <c r="M64" s="56" t="inlineStr">
        <is>
          <t>Strip/PAK</t>
        </is>
      </c>
      <c r="N64" s="56" t="inlineStr">
        <is>
          <t>Titration Pack</t>
        </is>
      </c>
      <c r="O64" s="56" t="inlineStr">
        <is>
          <t>1220</t>
        </is>
      </c>
      <c r="P64" s="56" t="inlineStr">
        <is>
          <t>V501</t>
        </is>
      </c>
      <c r="Q64" s="56" t="inlineStr">
        <is>
          <t>-</t>
        </is>
      </c>
      <c r="R64" s="56" t="inlineStr">
        <is>
          <t>-</t>
        </is>
      </c>
    </row>
    <row r="65" ht="32.8" customHeight="1" s="41">
      <c r="A65" s="56" t="inlineStr">
        <is>
          <t>4</t>
        </is>
      </c>
      <c r="B65" s="56" t="inlineStr">
        <is>
          <t>FP_Blister Card</t>
        </is>
      </c>
      <c r="C65" s="56" t="inlineStr">
        <is>
          <t>5CNT348A1ZZZ</t>
        </is>
      </c>
      <c r="D65" s="56" t="inlineStr">
        <is>
          <t>Cenobamate(USA)2021 MP3_PK 100mg X 150mg</t>
        </is>
      </c>
      <c r="E65" s="56" t="inlineStr">
        <is>
          <t>3000</t>
        </is>
      </c>
      <c r="F65" s="56" t="inlineStr">
        <is>
          <t>-</t>
        </is>
      </c>
      <c r="G65" s="56" t="inlineStr">
        <is>
          <t>PAK</t>
        </is>
      </c>
      <c r="H65" s="56" t="inlineStr">
        <is>
          <t>PCI CA</t>
        </is>
      </c>
      <c r="I65" s="56" t="inlineStr">
        <is>
          <t>-</t>
        </is>
      </c>
      <c r="J65" s="56" t="inlineStr">
        <is>
          <t>4CNS3Z1001ZZ
4CNS4Z1001ZZ</t>
        </is>
      </c>
      <c r="K65" s="56" t="inlineStr">
        <is>
          <t>100mg Strip D
150mg Strip E</t>
        </is>
      </c>
      <c r="L65" s="56" t="inlineStr">
        <is>
          <t>4+4</t>
        </is>
      </c>
      <c r="M65" s="56" t="inlineStr">
        <is>
          <t>Strip/PAK</t>
        </is>
      </c>
      <c r="N65" s="56" t="inlineStr">
        <is>
          <t>Maintenance Pack</t>
        </is>
      </c>
      <c r="O65" s="56" t="inlineStr">
        <is>
          <t>1220</t>
        </is>
      </c>
      <c r="P65" s="56" t="inlineStr">
        <is>
          <t>V501</t>
        </is>
      </c>
      <c r="Q65" s="56" t="inlineStr">
        <is>
          <t>-</t>
        </is>
      </c>
      <c r="R65" s="56" t="inlineStr">
        <is>
          <t>-</t>
        </is>
      </c>
    </row>
    <row r="66" ht="32.8" customHeight="1" s="41">
      <c r="A66" s="56" t="inlineStr">
        <is>
          <t>4</t>
        </is>
      </c>
      <c r="B66" s="56" t="inlineStr">
        <is>
          <t>FP_Blister Card</t>
        </is>
      </c>
      <c r="C66" s="56" t="inlineStr">
        <is>
          <t>5CNT454A1ZZZ</t>
        </is>
      </c>
      <c r="D66" s="56" t="inlineStr">
        <is>
          <t>Cenobamate(US) T3_Pack(150mg X 200mg)</t>
        </is>
      </c>
      <c r="E66" s="56" t="inlineStr">
        <is>
          <t>3000</t>
        </is>
      </c>
      <c r="F66" s="56" t="inlineStr">
        <is>
          <t>-</t>
        </is>
      </c>
      <c r="G66" s="56" t="inlineStr">
        <is>
          <t>PAK</t>
        </is>
      </c>
      <c r="H66" s="56" t="inlineStr">
        <is>
          <t>PCI CA</t>
        </is>
      </c>
      <c r="I66" s="56" t="inlineStr">
        <is>
          <t>-</t>
        </is>
      </c>
      <c r="J66" s="56" t="inlineStr">
        <is>
          <t>4CNS4Z1001ZZ
4CNS5Z1001ZZ</t>
        </is>
      </c>
      <c r="K66" s="56" t="inlineStr">
        <is>
          <t>150mg Strip E
200mg Strip F</t>
        </is>
      </c>
      <c r="L66" s="56" t="inlineStr">
        <is>
          <t>2+2</t>
        </is>
      </c>
      <c r="M66" s="56" t="inlineStr">
        <is>
          <t>Strip/PAK</t>
        </is>
      </c>
      <c r="N66" s="56" t="inlineStr">
        <is>
          <t>Titration Pack</t>
        </is>
      </c>
      <c r="O66" s="56" t="inlineStr">
        <is>
          <t>1220</t>
        </is>
      </c>
      <c r="P66" s="56" t="inlineStr">
        <is>
          <t>V501</t>
        </is>
      </c>
      <c r="Q66" s="56" t="inlineStr">
        <is>
          <t>-</t>
        </is>
      </c>
      <c r="R66" s="56" t="inlineStr">
        <is>
          <t>-</t>
        </is>
      </c>
    </row>
    <row r="67" ht="32.8" customHeight="1" s="41">
      <c r="A67" s="56" t="inlineStr">
        <is>
          <t>4</t>
        </is>
      </c>
      <c r="B67" s="56" t="inlineStr">
        <is>
          <t>FP_Blister Card</t>
        </is>
      </c>
      <c r="C67" s="56" t="inlineStr">
        <is>
          <t>5CNT458A1ZZZ</t>
        </is>
      </c>
      <c r="D67" s="56" t="inlineStr">
        <is>
          <t>Cenobamate(US) MP4_Pack(150mg X 200mg)</t>
        </is>
      </c>
      <c r="E67" s="56" t="inlineStr">
        <is>
          <t>1000</t>
        </is>
      </c>
      <c r="F67" s="56" t="inlineStr">
        <is>
          <t>-</t>
        </is>
      </c>
      <c r="G67" s="56" t="inlineStr">
        <is>
          <t>PAK</t>
        </is>
      </c>
      <c r="H67" s="56" t="inlineStr">
        <is>
          <t>PCI CA</t>
        </is>
      </c>
      <c r="I67" s="56" t="inlineStr">
        <is>
          <t>-</t>
        </is>
      </c>
      <c r="J67" s="56" t="inlineStr">
        <is>
          <t>4CNS4Z1001ZZ
4CNS5Z1001ZZ</t>
        </is>
      </c>
      <c r="K67" s="56" t="inlineStr">
        <is>
          <t>150mg Strip E
200mg Strip F</t>
        </is>
      </c>
      <c r="L67" s="56" t="inlineStr">
        <is>
          <t>4+4</t>
        </is>
      </c>
      <c r="M67" s="56" t="inlineStr">
        <is>
          <t>Strip/PAK</t>
        </is>
      </c>
      <c r="N67" s="56" t="inlineStr">
        <is>
          <t>Maintenance Pack</t>
        </is>
      </c>
      <c r="O67" s="56" t="inlineStr">
        <is>
          <t>1220</t>
        </is>
      </c>
      <c r="P67" s="56" t="inlineStr">
        <is>
          <t>V501</t>
        </is>
      </c>
      <c r="Q67" s="56" t="inlineStr">
        <is>
          <t>-</t>
        </is>
      </c>
      <c r="R67" s="56" t="inlineStr">
        <is>
          <t>-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0" min="1" max="1"/>
    <col width="18" customWidth="1" style="40" min="2" max="10"/>
  </cols>
  <sheetData>
    <row r="1" ht="16.15" customHeight="1" s="41">
      <c r="A1" s="54" t="inlineStr">
        <is>
          <t>2. Common Blend</t>
        </is>
      </c>
    </row>
    <row r="3" ht="24.6" customHeight="1" s="41">
      <c r="A3" s="55" t="inlineStr">
        <is>
          <t>Blend Type</t>
        </is>
      </c>
      <c r="B3" s="58" t="inlineStr">
        <is>
          <t>대상 시장</t>
        </is>
      </c>
      <c r="C3" s="55" t="inlineStr">
        <is>
          <t>API 투입량
(KG)</t>
        </is>
      </c>
      <c r="D3" s="58" t="inlineStr">
        <is>
          <t>함량</t>
        </is>
      </c>
      <c r="E3" s="55" t="inlineStr">
        <is>
          <t>API 분량
(KG)</t>
        </is>
      </c>
      <c r="F3" s="58" t="inlineStr">
        <is>
          <t>배치 수</t>
        </is>
      </c>
      <c r="G3" s="55" t="inlineStr">
        <is>
          <t>Material Code</t>
        </is>
      </c>
      <c r="H3" s="55" t="inlineStr">
        <is>
          <t>Material Description</t>
        </is>
      </c>
      <c r="I3" s="55" t="inlineStr">
        <is>
          <t>Batch Size
(Patheon)</t>
        </is>
      </c>
      <c r="J3" s="55" t="inlineStr">
        <is>
          <t>Note</t>
        </is>
      </c>
    </row>
    <row r="4" ht="43.25" customHeight="1" s="41">
      <c r="A4" s="56" t="inlineStr">
        <is>
          <t>Standard
Common Blend</t>
        </is>
      </c>
      <c r="B4" s="56" t="inlineStr">
        <is>
          <t>US
CA
IL
HK</t>
        </is>
      </c>
      <c r="C4" s="56" t="inlineStr">
        <is>
          <t>40</t>
        </is>
      </c>
      <c r="D4" s="56" t="inlineStr">
        <is>
          <t>12.5mg</t>
        </is>
      </c>
      <c r="E4" s="56" t="inlineStr">
        <is>
          <t>5</t>
        </is>
      </c>
      <c r="F4" s="56" t="inlineStr">
        <is>
          <t>1</t>
        </is>
      </c>
      <c r="G4" s="56" t="inlineStr">
        <is>
          <t>3CNY0Z001ZZZ
(시장별 상이)</t>
        </is>
      </c>
      <c r="H4" s="56" t="inlineStr">
        <is>
          <t>Cenobamate 12.5mg_Tablet</t>
        </is>
      </c>
      <c r="I4" s="56" t="inlineStr">
        <is>
          <t>400000</t>
        </is>
      </c>
      <c r="J4" s="56" t="inlineStr">
        <is>
          <t>-</t>
        </is>
      </c>
    </row>
    <row r="5" ht="43.25" customHeight="1" s="41">
      <c r="A5" s="56" t="inlineStr">
        <is>
          <t>Standard
Common Blend</t>
        </is>
      </c>
      <c r="B5" s="56" t="inlineStr">
        <is>
          <t>US
CA
IL
HK</t>
        </is>
      </c>
      <c r="C5" s="56" t="inlineStr">
        <is>
          <t>40</t>
        </is>
      </c>
      <c r="D5" s="56" t="inlineStr">
        <is>
          <t>25mg</t>
        </is>
      </c>
      <c r="E5" s="56" t="inlineStr">
        <is>
          <t>10</t>
        </is>
      </c>
      <c r="F5" s="56" t="inlineStr">
        <is>
          <t>1</t>
        </is>
      </c>
      <c r="G5" s="56" t="inlineStr">
        <is>
          <t>3CNY1Z001ZZZ
(시장별 상이)</t>
        </is>
      </c>
      <c r="H5" s="56" t="inlineStr">
        <is>
          <t>Cenobamate 25mg_Tablet</t>
        </is>
      </c>
      <c r="I5" s="56" t="inlineStr">
        <is>
          <t>400000</t>
        </is>
      </c>
      <c r="J5" s="56" t="inlineStr">
        <is>
          <t>-</t>
        </is>
      </c>
    </row>
    <row r="6" ht="43.25" customHeight="1" s="41">
      <c r="A6" s="56" t="inlineStr">
        <is>
          <t>Standard
Common Blend</t>
        </is>
      </c>
      <c r="B6" s="56" t="inlineStr">
        <is>
          <t>US
CA
IL
HK</t>
        </is>
      </c>
      <c r="C6" s="56" t="inlineStr">
        <is>
          <t>40</t>
        </is>
      </c>
      <c r="D6" s="56" t="inlineStr">
        <is>
          <t>50mg</t>
        </is>
      </c>
      <c r="E6" s="56" t="inlineStr">
        <is>
          <t>25</t>
        </is>
      </c>
      <c r="F6" s="56" t="inlineStr">
        <is>
          <t>1</t>
        </is>
      </c>
      <c r="G6" s="56" t="inlineStr">
        <is>
          <t>3CNY2Z001ZZZ
(시장별 상이)</t>
        </is>
      </c>
      <c r="H6" s="56" t="inlineStr">
        <is>
          <t>Cenobamate 50mg_Tablet</t>
        </is>
      </c>
      <c r="I6" s="56" t="inlineStr">
        <is>
          <t>500000</t>
        </is>
      </c>
      <c r="J6" s="57" t="inlineStr">
        <is>
          <t>소계: 5+10+25 = 40 KG</t>
        </is>
      </c>
    </row>
    <row r="7" ht="22.35" customHeight="1" s="41">
      <c r="A7" s="56" t="inlineStr">
        <is>
          <t>CN
Common Blend</t>
        </is>
      </c>
      <c r="B7" s="56" t="inlineStr">
        <is>
          <t>China</t>
        </is>
      </c>
      <c r="C7" s="56" t="inlineStr">
        <is>
          <t>40</t>
        </is>
      </c>
      <c r="D7" s="56" t="inlineStr">
        <is>
          <t>12.5mg</t>
        </is>
      </c>
      <c r="E7" s="56" t="inlineStr">
        <is>
          <t>5</t>
        </is>
      </c>
      <c r="F7" s="56" t="inlineStr">
        <is>
          <t>3</t>
        </is>
      </c>
      <c r="G7" s="56" t="inlineStr">
        <is>
          <t>3CNY0Z007ZZZ</t>
        </is>
      </c>
      <c r="H7" s="56" t="inlineStr">
        <is>
          <t>Cenobamate(CN) 12.5mg_Tablet</t>
        </is>
      </c>
      <c r="I7" s="56" t="inlineStr">
        <is>
          <t>400000</t>
        </is>
      </c>
      <c r="J7" s="56" t="inlineStr">
        <is>
          <t>5kg × 3배치 = 총 15kg</t>
        </is>
      </c>
    </row>
    <row r="8" ht="26.85" customHeight="1" s="41">
      <c r="A8" s="56" t="inlineStr">
        <is>
          <t>CN
Common Blend</t>
        </is>
      </c>
      <c r="B8" s="56" t="inlineStr">
        <is>
          <t>China</t>
        </is>
      </c>
      <c r="C8" s="56" t="inlineStr">
        <is>
          <t>40</t>
        </is>
      </c>
      <c r="D8" s="56" t="inlineStr">
        <is>
          <t>50mg</t>
        </is>
      </c>
      <c r="E8" s="56" t="inlineStr">
        <is>
          <t>25</t>
        </is>
      </c>
      <c r="F8" s="56" t="inlineStr">
        <is>
          <t>1</t>
        </is>
      </c>
      <c r="G8" s="56" t="inlineStr">
        <is>
          <t>3CNY2Z007ZZZ</t>
        </is>
      </c>
      <c r="H8" s="56" t="inlineStr">
        <is>
          <t>Cenobamate(CN) 50mg_Tablet</t>
        </is>
      </c>
      <c r="I8" s="56" t="inlineStr">
        <is>
          <t>500000</t>
        </is>
      </c>
      <c r="J8" s="57" t="inlineStr">
        <is>
          <t>소계: 15+25 = 40 KG
25mg 미생산</t>
        </is>
      </c>
    </row>
    <row r="9" ht="22.35" customHeight="1" s="41">
      <c r="A9" s="57" t="inlineStr">
        <is>
          <t>단독 제조</t>
        </is>
      </c>
      <c r="B9" s="57" t="inlineStr">
        <is>
          <t>전 시장 공통</t>
        </is>
      </c>
      <c r="C9" s="56" t="inlineStr">
        <is>
          <t>-</t>
        </is>
      </c>
      <c r="D9" s="56" t="inlineStr">
        <is>
          <t>100mg</t>
        </is>
      </c>
      <c r="E9" s="56" t="inlineStr">
        <is>
          <t>-</t>
        </is>
      </c>
      <c r="F9" s="56" t="inlineStr">
        <is>
          <t>1</t>
        </is>
      </c>
      <c r="G9" s="56" t="inlineStr">
        <is>
          <t>3CNY3Z___ZZZ</t>
        </is>
      </c>
      <c r="H9" s="56" t="inlineStr">
        <is>
          <t>Cenobamate 100mg_Tablet</t>
        </is>
      </c>
      <c r="I9" s="56" t="inlineStr">
        <is>
          <t>800000</t>
        </is>
      </c>
      <c r="J9" s="56" t="inlineStr">
        <is>
          <t>Common Blend 미적용</t>
        </is>
      </c>
    </row>
    <row r="10" ht="22.35" customHeight="1" s="41">
      <c r="A10" s="57" t="inlineStr">
        <is>
          <t>단독 제조</t>
        </is>
      </c>
      <c r="B10" s="57" t="inlineStr">
        <is>
          <t>전 시장 공통</t>
        </is>
      </c>
      <c r="C10" s="56" t="inlineStr">
        <is>
          <t>-</t>
        </is>
      </c>
      <c r="D10" s="56" t="inlineStr">
        <is>
          <t>150mg</t>
        </is>
      </c>
      <c r="E10" s="56" t="inlineStr">
        <is>
          <t>-</t>
        </is>
      </c>
      <c r="F10" s="56" t="inlineStr">
        <is>
          <t>1</t>
        </is>
      </c>
      <c r="G10" s="56" t="inlineStr">
        <is>
          <t>3CNY4Z___ZZZ</t>
        </is>
      </c>
      <c r="H10" s="56" t="inlineStr">
        <is>
          <t>Cenobamate 150mg_Tablet</t>
        </is>
      </c>
      <c r="I10" s="56" t="inlineStr">
        <is>
          <t>533333</t>
        </is>
      </c>
      <c r="J10" s="56" t="inlineStr">
        <is>
          <t>-</t>
        </is>
      </c>
    </row>
    <row r="11" ht="22.35" customHeight="1" s="41">
      <c r="A11" s="57" t="inlineStr">
        <is>
          <t>단독 제조</t>
        </is>
      </c>
      <c r="B11" s="57" t="inlineStr">
        <is>
          <t>전 시장 공통</t>
        </is>
      </c>
      <c r="C11" s="56" t="inlineStr">
        <is>
          <t>-</t>
        </is>
      </c>
      <c r="D11" s="56" t="inlineStr">
        <is>
          <t>200mg</t>
        </is>
      </c>
      <c r="E11" s="56" t="inlineStr">
        <is>
          <t>-</t>
        </is>
      </c>
      <c r="F11" s="56" t="inlineStr">
        <is>
          <t>1</t>
        </is>
      </c>
      <c r="G11" s="56" t="inlineStr">
        <is>
          <t>3CNY5Z___ZZZ</t>
        </is>
      </c>
      <c r="H11" s="56" t="inlineStr">
        <is>
          <t>Cenobamate 200mg_Tablet</t>
        </is>
      </c>
      <c r="I11" s="56" t="inlineStr">
        <is>
          <t>400000</t>
        </is>
      </c>
      <c r="J11" s="56" t="inlineStr">
        <is>
          <t>-</t>
        </is>
      </c>
    </row>
    <row r="12" ht="52.2" customHeight="1" s="41">
      <c r="A12" s="56" t="inlineStr">
        <is>
          <t>50mg Scale-up
(단독)</t>
        </is>
      </c>
      <c r="B12" s="56" t="inlineStr">
        <is>
          <t>US
CN</t>
        </is>
      </c>
      <c r="C12" s="56" t="inlineStr">
        <is>
          <t>-</t>
        </is>
      </c>
      <c r="D12" s="56" t="inlineStr">
        <is>
          <t>50mg</t>
        </is>
      </c>
      <c r="E12" s="56" t="inlineStr">
        <is>
          <t>-</t>
        </is>
      </c>
      <c r="F12" s="56" t="inlineStr">
        <is>
          <t>1</t>
        </is>
      </c>
      <c r="G12" s="56" t="inlineStr">
        <is>
          <t>3CNY2Z001ZZZ
3CNY2Z007ZZZ</t>
        </is>
      </c>
      <c r="H12" s="56" t="inlineStr">
        <is>
          <t>Cenobamate 50mg_Tablet [Scale-up]</t>
        </is>
      </c>
      <c r="I12" s="56" t="inlineStr">
        <is>
          <t>800000</t>
        </is>
      </c>
      <c r="J12" s="56" t="inlineStr">
        <is>
          <t>Common Blend 미적용
50mg 단독 생산
SAP 코드 동일, Desc. 구분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0" min="1" max="1"/>
    <col width="18" customWidth="1" style="40" min="2" max="7"/>
  </cols>
  <sheetData>
    <row r="1" ht="16.15" customHeight="1" s="41">
      <c r="A1" s="54" t="inlineStr">
        <is>
          <t>3. Partner Mapping</t>
        </is>
      </c>
    </row>
    <row r="3" ht="26.85" customHeight="1" s="41">
      <c r="A3" s="55" t="inlineStr">
        <is>
          <t>Partner</t>
        </is>
      </c>
      <c r="B3" s="55" t="inlineStr">
        <is>
          <t>Country/
Region</t>
        </is>
      </c>
      <c r="C3" s="55" t="inlineStr">
        <is>
          <t>Supply
Level</t>
        </is>
      </c>
      <c r="D3" s="58" t="inlineStr">
        <is>
          <t>공급 제품
(Material Code)</t>
        </is>
      </c>
      <c r="E3" s="58" t="inlineStr">
        <is>
          <t>공급 제품
(Description)</t>
        </is>
      </c>
      <c r="F3" s="58" t="inlineStr">
        <is>
          <t>파트너 자체
DP/Pkg 역량</t>
        </is>
      </c>
      <c r="G3" s="55" t="inlineStr">
        <is>
          <t>Note</t>
        </is>
      </c>
    </row>
    <row r="4" ht="126.85" customHeight="1" s="41">
      <c r="A4" s="56" t="inlineStr">
        <is>
          <t>SK Life Sciences</t>
        </is>
      </c>
      <c r="B4" s="56" t="inlineStr">
        <is>
          <t>US</t>
        </is>
      </c>
      <c r="C4" s="56" t="inlineStr">
        <is>
          <t>FP</t>
        </is>
      </c>
      <c r="D4" s="56" t="inlineStr">
        <is>
          <t>5CNB1ZAA1ZZZ, 5CNB2ZAA1SZZ,
5CNB2ZAA1ZZZ, 5CNB3ZAA1ZZZ,
5CNB4ZAA1ZZZ, 5CNB5ZAA1ZZZ,
5CNT014A1SZZ, 5CNT014A1ZZZ,
5CNT234A1ZZZ, 5CNT348A1ZZZ,
5CNT454A1ZZZ, 5CNT458A1ZZZ</t>
        </is>
      </c>
      <c r="E4" s="56" t="inlineStr">
        <is>
          <t>Bottle 6종 + Blister Card 6종
(Physician Sample 포함)</t>
        </is>
      </c>
      <c r="F4" s="56" t="inlineStr">
        <is>
          <t>N/A (자사)</t>
        </is>
      </c>
      <c r="G4" s="57" t="inlineStr">
        <is>
          <t>최종 완제품(FP) 공급
Bottle + Blister Card 전 품목</t>
        </is>
      </c>
    </row>
    <row r="5" ht="26.85" customHeight="1" s="41">
      <c r="A5" s="56" t="inlineStr">
        <is>
          <t>Angelini</t>
        </is>
      </c>
      <c r="B5" s="56" t="inlineStr">
        <is>
          <t>EU</t>
        </is>
      </c>
      <c r="C5" s="56" t="inlineStr">
        <is>
          <t>API</t>
        </is>
      </c>
      <c r="D5" s="56" t="inlineStr">
        <is>
          <t>2CNY002ZZZZZ</t>
        </is>
      </c>
      <c r="E5" s="56" t="inlineStr">
        <is>
          <t>Cenobamate API_EU_Subcontract</t>
        </is>
      </c>
      <c r="F5" s="57" t="inlineStr">
        <is>
          <t>보유 (자체 DP/Pkg)</t>
        </is>
      </c>
      <c r="G5" s="56" t="inlineStr">
        <is>
          <t>EU RSM으로만 합성된 API 공급</t>
        </is>
      </c>
    </row>
    <row r="6" ht="24.6" customHeight="1" s="41">
      <c r="A6" s="56" t="inlineStr">
        <is>
          <t>Ignis</t>
        </is>
      </c>
      <c r="B6" s="56" t="inlineStr">
        <is>
          <t>China</t>
        </is>
      </c>
      <c r="C6" s="56" t="inlineStr">
        <is>
          <t>FP</t>
        </is>
      </c>
      <c r="D6" s="56" t="inlineStr">
        <is>
          <t>5CNB2ZAE3ZZZ, 5CNT0Z2E3ZZZ</t>
        </is>
      </c>
      <c r="E6" s="56" t="inlineStr">
        <is>
          <t>CN 50mg Bottle + CN 12.5mg Pack</t>
        </is>
      </c>
      <c r="F6" s="56" t="inlineStr">
        <is>
          <t>-</t>
        </is>
      </c>
      <c r="G6" s="56" t="inlineStr">
        <is>
          <t>CN Common Blend 적용</t>
        </is>
      </c>
    </row>
    <row r="7" ht="64.15000000000001" customHeight="1" s="41">
      <c r="A7" s="56" t="inlineStr">
        <is>
          <t>Ignis</t>
        </is>
      </c>
      <c r="B7" s="56" t="inlineStr">
        <is>
          <t>Hong Kong</t>
        </is>
      </c>
      <c r="C7" s="56" t="inlineStr">
        <is>
          <t>DP</t>
        </is>
      </c>
      <c r="D7" s="56" t="inlineStr">
        <is>
          <t>3CNY0Z006ZZZ, 3CNY1Z006ZZZ,
3CNY2Z006ZZZ, 3CNY3Z006ZZZ,
3CNY4Z006ZZZ, 3CNY5Z006ZZZ</t>
        </is>
      </c>
      <c r="E7" s="56" t="inlineStr">
        <is>
          <t>HK 12.5mg~200mg Tablet 6종</t>
        </is>
      </c>
      <c r="F7" s="57" t="inlineStr">
        <is>
          <t>보유 (자체 Pkg)</t>
        </is>
      </c>
      <c r="G7" s="56" t="inlineStr">
        <is>
          <t>Tablet 형태로 공급 → 자체 포장</t>
        </is>
      </c>
    </row>
    <row r="8" ht="22.35" customHeight="1" s="41">
      <c r="A8" s="56" t="inlineStr">
        <is>
          <t>Ono</t>
        </is>
      </c>
      <c r="B8" s="56" t="inlineStr">
        <is>
          <t>Japan</t>
        </is>
      </c>
      <c r="C8" s="56" t="inlineStr">
        <is>
          <t>API</t>
        </is>
      </c>
      <c r="D8" s="56" t="inlineStr">
        <is>
          <t>2CNY001ZZZZZ</t>
        </is>
      </c>
      <c r="E8" s="56" t="inlineStr">
        <is>
          <t>Cenobamate API_US_Subcontract</t>
        </is>
      </c>
      <c r="F8" s="57" t="inlineStr">
        <is>
          <t>보유 (자체 DP/Pkg)</t>
        </is>
      </c>
      <c r="G8" s="56" t="inlineStr">
        <is>
          <t>US API 공급</t>
        </is>
      </c>
    </row>
    <row r="9" ht="64.15000000000001" customHeight="1" s="41">
      <c r="A9" s="56" t="inlineStr">
        <is>
          <t>Knight</t>
        </is>
      </c>
      <c r="B9" s="56" t="inlineStr">
        <is>
          <t>Canada</t>
        </is>
      </c>
      <c r="C9" s="56" t="inlineStr">
        <is>
          <t>DP</t>
        </is>
      </c>
      <c r="D9" s="56" t="inlineStr">
        <is>
          <t>3CNY0Z004ZZZ, 3CNY1Z004ZZZ,
3CNY2Z004ZZZ, 3CNY3Z004ZZZ,
3CNY4Z004ZZZ, 3CNY5Z004ZZZ</t>
        </is>
      </c>
      <c r="E9" s="56" t="inlineStr">
        <is>
          <t>CA 12.5mg~200mg Tablet 6종</t>
        </is>
      </c>
      <c r="F9" s="57" t="inlineStr">
        <is>
          <t>보유 (자체 Pkg)</t>
        </is>
      </c>
      <c r="G9" s="56" t="inlineStr">
        <is>
          <t>CA API(=EU API 코드 변환) 기반 DP 공급</t>
        </is>
      </c>
    </row>
    <row r="10" ht="22.35" customHeight="1" s="41">
      <c r="A10" s="56" t="inlineStr">
        <is>
          <t>Eurofarma</t>
        </is>
      </c>
      <c r="B10" s="56" t="inlineStr">
        <is>
          <t>LATAM</t>
        </is>
      </c>
      <c r="C10" s="56" t="inlineStr">
        <is>
          <t>API</t>
        </is>
      </c>
      <c r="D10" s="56" t="inlineStr">
        <is>
          <t>2CNY001ZZZZZ</t>
        </is>
      </c>
      <c r="E10" s="56" t="inlineStr">
        <is>
          <t>Cenobamate API_US_Subcontract</t>
        </is>
      </c>
      <c r="F10" s="57" t="inlineStr">
        <is>
          <t>보유 (자체 DP/Pkg)</t>
        </is>
      </c>
      <c r="G10" s="56" t="inlineStr">
        <is>
          <t>US API 공급</t>
        </is>
      </c>
    </row>
    <row r="11" ht="22.35" customHeight="1" s="41">
      <c r="A11" s="56" t="inlineStr">
        <is>
          <t>Hikma</t>
        </is>
      </c>
      <c r="B11" s="56" t="inlineStr">
        <is>
          <t>MENA</t>
        </is>
      </c>
      <c r="C11" s="56" t="inlineStr">
        <is>
          <t>API</t>
        </is>
      </c>
      <c r="D11" s="56" t="inlineStr">
        <is>
          <t>2CNY001ZZZZZ</t>
        </is>
      </c>
      <c r="E11" s="56" t="inlineStr">
        <is>
          <t>Cenobamate API_US_Subcontract</t>
        </is>
      </c>
      <c r="F11" s="57" t="inlineStr">
        <is>
          <t>보유 (자체 DP/Pkg)</t>
        </is>
      </c>
      <c r="G11" s="56" t="inlineStr">
        <is>
          <t>US API 공급</t>
        </is>
      </c>
    </row>
    <row r="12" ht="22.35" customHeight="1" s="41">
      <c r="A12" s="56" t="inlineStr">
        <is>
          <t>Dong-A ST</t>
        </is>
      </c>
      <c r="B12" s="56" t="inlineStr">
        <is>
          <t>Korea</t>
        </is>
      </c>
      <c r="C12" s="56" t="inlineStr">
        <is>
          <t>API</t>
        </is>
      </c>
      <c r="D12" s="56" t="inlineStr">
        <is>
          <t>2CNY001ZZZZZ</t>
        </is>
      </c>
      <c r="E12" s="56" t="inlineStr">
        <is>
          <t>Cenobamate API_US_Subcontract</t>
        </is>
      </c>
      <c r="F12" s="57" t="inlineStr">
        <is>
          <t>보유 (자체 DP/Pkg)</t>
        </is>
      </c>
      <c r="G12" s="56" t="inlineStr">
        <is>
          <t>US API 공급</t>
        </is>
      </c>
    </row>
    <row r="13" ht="64.15000000000001" customHeight="1" s="41">
      <c r="A13" s="56" t="inlineStr">
        <is>
          <t>Dexcel</t>
        </is>
      </c>
      <c r="B13" s="56" t="inlineStr">
        <is>
          <t>Israel</t>
        </is>
      </c>
      <c r="C13" s="56" t="inlineStr">
        <is>
          <t>DP</t>
        </is>
      </c>
      <c r="D13" s="56" t="inlineStr">
        <is>
          <t>3CNY0Z005ZZZ, 3CNY1Z005ZZZ,
3CNY2Z005ZZZ, 3CNY3Z005ZZZ,
3CNY4Z005ZZZ, 3CNY5Z005ZZZ</t>
        </is>
      </c>
      <c r="E13" s="56" t="inlineStr">
        <is>
          <t>IL 12.5mg~200mg Tablet 6종</t>
        </is>
      </c>
      <c r="F13" s="57" t="inlineStr">
        <is>
          <t>보유 (자체 Pkg)</t>
        </is>
      </c>
      <c r="G13" s="56" t="inlineStr">
        <is>
          <t>ROW1 API(=US API 코드 변환) 기반 DP 공급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0" min="1" max="1"/>
    <col width="18" customWidth="1" style="40" min="2" max="10"/>
  </cols>
  <sheetData>
    <row r="1" ht="16.15" customHeight="1" s="41">
      <c r="A1" s="54" t="inlineStr">
        <is>
          <t>4. CMO Summary</t>
        </is>
      </c>
    </row>
    <row r="3" ht="24.6" customHeight="1" s="41">
      <c r="A3" s="55" t="inlineStr">
        <is>
          <t>CMO</t>
        </is>
      </c>
      <c r="B3" s="55" t="inlineStr">
        <is>
          <t>Country</t>
        </is>
      </c>
      <c r="C3" s="58" t="inlineStr">
        <is>
          <t>역할 (Role)</t>
        </is>
      </c>
      <c r="D3" s="58" t="inlineStr">
        <is>
          <t>담당 단계
(Material Type)</t>
        </is>
      </c>
      <c r="E3" s="58" t="inlineStr">
        <is>
          <t>대상 시장
(Market)</t>
        </is>
      </c>
      <c r="F3" s="58" t="inlineStr">
        <is>
          <t>주요 제품</t>
        </is>
      </c>
      <c r="G3" s="55" t="inlineStr">
        <is>
          <t>Batch Size 범위</t>
        </is>
      </c>
      <c r="H3" s="55" t="inlineStr">
        <is>
          <t>Note</t>
        </is>
      </c>
      <c r="I3" s="55" t="inlineStr">
        <is>
          <t>SAP Plant</t>
        </is>
      </c>
      <c r="J3" s="55" t="inlineStr">
        <is>
          <t>Key Storage Locations</t>
        </is>
      </c>
    </row>
    <row r="4" ht="32.8" customHeight="1" s="41">
      <c r="A4" s="56" t="inlineStr">
        <is>
          <t>Lianhe</t>
        </is>
      </c>
      <c r="B4" s="56" t="inlineStr">
        <is>
          <t>China</t>
        </is>
      </c>
      <c r="C4" s="56" t="inlineStr">
        <is>
          <t>RSM 제조
(CMO A)</t>
        </is>
      </c>
      <c r="D4" s="56" t="inlineStr">
        <is>
          <t>Raw Material</t>
        </is>
      </c>
      <c r="E4" s="57" t="inlineStr">
        <is>
          <t>전 시장</t>
        </is>
      </c>
      <c r="F4" s="56" t="inlineStr">
        <is>
          <t>YKP1941_US
EU
US_New</t>
        </is>
      </c>
      <c r="G4" s="56" t="inlineStr">
        <is>
          <t>200 KG/batch</t>
        </is>
      </c>
      <c r="H4" s="57" t="inlineStr">
        <is>
          <t>기존 + 신규 공정 모두 적용</t>
        </is>
      </c>
      <c r="I4" s="56" t="inlineStr">
        <is>
          <t>1100</t>
        </is>
      </c>
      <c r="J4" s="56" t="inlineStr">
        <is>
          <t>1101 (RMat1941-Lianhe)</t>
        </is>
      </c>
    </row>
    <row r="5" ht="32.8" customHeight="1" s="41">
      <c r="A5" s="56" t="inlineStr">
        <is>
          <t>Wisdom</t>
        </is>
      </c>
      <c r="B5" s="56" t="inlineStr">
        <is>
          <t>China</t>
        </is>
      </c>
      <c r="C5" s="56" t="inlineStr">
        <is>
          <t>RSM 제조
(CMO B)</t>
        </is>
      </c>
      <c r="D5" s="56" t="inlineStr">
        <is>
          <t>Raw Material</t>
        </is>
      </c>
      <c r="E5" s="57" t="inlineStr">
        <is>
          <t>전 시장</t>
        </is>
      </c>
      <c r="F5" s="56" t="inlineStr">
        <is>
          <t>YKP1941_US
EU
US_New</t>
        </is>
      </c>
      <c r="G5" s="56" t="inlineStr">
        <is>
          <t>180 KG/batch</t>
        </is>
      </c>
      <c r="H5" s="57" t="inlineStr">
        <is>
          <t>기존 + 신규 공정 모두 적용</t>
        </is>
      </c>
      <c r="I5" s="56" t="inlineStr">
        <is>
          <t>1100</t>
        </is>
      </c>
      <c r="J5" s="56" t="inlineStr">
        <is>
          <t>1102 (RMat1941-Wisdom)</t>
        </is>
      </c>
    </row>
    <row r="6" ht="39.55" customHeight="1" s="41">
      <c r="A6" s="56" t="inlineStr">
        <is>
          <t>SK biotek</t>
        </is>
      </c>
      <c r="B6" s="56" t="inlineStr">
        <is>
          <t>Korea</t>
        </is>
      </c>
      <c r="C6" s="56" t="inlineStr">
        <is>
          <t>API 합성</t>
        </is>
      </c>
      <c r="D6" s="56" t="inlineStr">
        <is>
          <t>API</t>
        </is>
      </c>
      <c r="E6" s="57" t="inlineStr">
        <is>
          <t>전 시장</t>
        </is>
      </c>
      <c r="F6" s="56" t="inlineStr">
        <is>
          <t>US/EU API 실제 합성
ROW1/CA API 코드 변환</t>
        </is>
      </c>
      <c r="G6" s="56" t="inlineStr">
        <is>
          <t>482 KG/batch</t>
        </is>
      </c>
      <c r="H6" s="57" t="inlineStr">
        <is>
          <t>전 시장 API 단독 CMO
ROW1/CA는 물리적 공정 없음</t>
        </is>
      </c>
      <c r="I6" s="56" t="inlineStr">
        <is>
          <t>1100</t>
        </is>
      </c>
      <c r="J6" s="56" t="inlineStr">
        <is>
          <t>V202 (Sub3089-BT)</t>
        </is>
      </c>
    </row>
    <row r="7" ht="45.5" customHeight="1" s="41">
      <c r="A7" s="56" t="inlineStr">
        <is>
          <t>Patheon</t>
        </is>
      </c>
      <c r="B7" s="56" t="inlineStr">
        <is>
          <t>Canada</t>
        </is>
      </c>
      <c r="C7" s="56" t="inlineStr">
        <is>
          <t>DP 제조 (CMO A)
+ Britestock
+ Bottle Packaging</t>
        </is>
      </c>
      <c r="D7" s="56" t="inlineStr">
        <is>
          <t>DP → Semi-FP
→ FP</t>
        </is>
      </c>
      <c r="E7" s="57" t="inlineStr">
        <is>
          <t>전 시장</t>
        </is>
      </c>
      <c r="F7" s="57" t="inlineStr">
        <is>
          <t>전 함량 Tablet 제조
Britestock 충전
Bottle 라벨링/포장</t>
        </is>
      </c>
      <c r="G7" s="57" t="inlineStr">
        <is>
          <t>다양 (함량별 상이)</t>
        </is>
      </c>
      <c r="H7" s="57" t="inlineStr">
        <is>
          <t>전 시장 DP CMO (Primary)
Patheon Tablet → Patheon Bottle</t>
        </is>
      </c>
      <c r="I7" s="56" t="inlineStr">
        <is>
          <t>1210</t>
        </is>
      </c>
      <c r="J7" s="56" t="inlineStr">
        <is>
          <t>V101(RM)
V301(DP)
V401(SP)
V501(FP)</t>
        </is>
      </c>
    </row>
    <row r="8" ht="47.75" customHeight="1" s="41">
      <c r="A8" s="56" t="inlineStr">
        <is>
          <t>Avara</t>
        </is>
      </c>
      <c r="B8" s="56" t="inlineStr">
        <is>
          <t>USA</t>
        </is>
      </c>
      <c r="C8" s="56" t="inlineStr">
        <is>
          <t>DP 제조 (CMO B)</t>
        </is>
      </c>
      <c r="D8" s="56" t="inlineStr">
        <is>
          <t>Drug Product</t>
        </is>
      </c>
      <c r="E8" s="56" t="inlineStr">
        <is>
          <t>US 전용</t>
        </is>
      </c>
      <c r="F8" s="56" t="inlineStr">
        <is>
          <t>US 시장 전 함량 Tablet</t>
        </is>
      </c>
      <c r="G8" s="57" t="inlineStr">
        <is>
          <t>다양 (함량별 상이)</t>
        </is>
      </c>
      <c r="H8" s="56" t="inlineStr">
        <is>
          <t>US 시장 전용 승인 및 사용
Avara Tablet → PCI US Bottle</t>
        </is>
      </c>
      <c r="I8" s="56" t="inlineStr">
        <is>
          <t>1310</t>
        </is>
      </c>
      <c r="J8" s="56" t="inlineStr">
        <is>
          <t>V101(RM)
V301(DP)
V401(SP)
V501(FP)</t>
        </is>
      </c>
    </row>
    <row r="9" ht="45.5" customHeight="1" s="41">
      <c r="A9" s="56" t="inlineStr">
        <is>
          <t>PCI CA</t>
        </is>
      </c>
      <c r="B9" s="56" t="inlineStr">
        <is>
          <t>Canada</t>
        </is>
      </c>
      <c r="C9" s="56" t="inlineStr">
        <is>
          <t>Blister Strip 제조
+ Blister Card 조립</t>
        </is>
      </c>
      <c r="D9" s="56" t="inlineStr">
        <is>
          <t>Semi-FP
→ FP</t>
        </is>
      </c>
      <c r="E9" s="56" t="inlineStr">
        <is>
          <t>US
CN</t>
        </is>
      </c>
      <c r="F9" s="56" t="inlineStr">
        <is>
          <t>Blister Strip A~F (US)
Blister Strip (CN)
Blister Card (Titration/Maintenance)</t>
        </is>
      </c>
      <c r="G9" s="57" t="inlineStr">
        <is>
          <t>다양 (함량별 상이)</t>
        </is>
      </c>
      <c r="H9" s="56" t="inlineStr">
        <is>
          <t>US: 전 함량 Blister Strip + Card
CN: 12.5mg Strip + Card</t>
        </is>
      </c>
      <c r="I9" s="56" t="inlineStr">
        <is>
          <t>1220</t>
        </is>
      </c>
      <c r="J9" s="56" t="inlineStr">
        <is>
          <t>V101-V102(RM)
V301-V302(DP)
V401-V402(SP)
V501-V502(FP)</t>
        </is>
      </c>
    </row>
    <row r="10" ht="43.25" customHeight="1" s="41">
      <c r="A10" s="56" t="inlineStr">
        <is>
          <t>PCI US</t>
        </is>
      </c>
      <c r="B10" s="56" t="inlineStr">
        <is>
          <t>USA</t>
        </is>
      </c>
      <c r="C10" s="56" t="inlineStr">
        <is>
          <t>Bottle Packaging
(Avara Tablet 전용)</t>
        </is>
      </c>
      <c r="D10" s="56" t="inlineStr">
        <is>
          <t>Finished Product</t>
        </is>
      </c>
      <c r="E10" s="56" t="inlineStr">
        <is>
          <t>US 전용</t>
        </is>
      </c>
      <c r="F10" s="56" t="inlineStr">
        <is>
          <t>US 50~200mg Bottle
(Avara 제조 Tablet만)</t>
        </is>
      </c>
      <c r="G10" s="57" t="inlineStr">
        <is>
          <t>다양 (함량별 상이)</t>
        </is>
      </c>
      <c r="H10" s="56" t="inlineStr">
        <is>
          <t>25mg Bottle은 미제조
Avara Tablet 전용 포장 파트너</t>
        </is>
      </c>
      <c r="I10" s="56" t="inlineStr">
        <is>
          <t>1230</t>
        </is>
      </c>
      <c r="J10" s="56" t="inlineStr">
        <is>
          <t>V101(RM)
V301(DP)
V401(SP)
V501(FP)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0" min="1" max="1"/>
    <col width="18" customWidth="1" style="40" min="2" max="10"/>
  </cols>
  <sheetData>
    <row r="1" ht="16.15" customHeight="1" s="41">
      <c r="A1" s="54" t="inlineStr">
        <is>
          <t>5. Supply Flow</t>
        </is>
      </c>
    </row>
    <row r="3" ht="24.6" customHeight="1" s="41">
      <c r="A3" s="58" t="inlineStr">
        <is>
          <t>시장
(Market)</t>
        </is>
      </c>
      <c r="B3" s="55" t="inlineStr">
        <is>
          <t>Partner</t>
        </is>
      </c>
      <c r="C3" s="55" t="inlineStr">
        <is>
          <t>Supply
Level</t>
        </is>
      </c>
      <c r="D3" s="55" t="inlineStr">
        <is>
          <t>① RSM Vendor</t>
        </is>
      </c>
      <c r="E3" s="55" t="inlineStr">
        <is>
          <t>② API CMO</t>
        </is>
      </c>
      <c r="F3" s="55" t="inlineStr">
        <is>
          <t>③ DP CMO</t>
        </is>
      </c>
      <c r="G3" s="55" t="inlineStr">
        <is>
          <t>④ Semi-FP CMO</t>
        </is>
      </c>
      <c r="H3" s="55" t="inlineStr">
        <is>
          <t>⑤ FP CMO
Packaging</t>
        </is>
      </c>
      <c r="I3" s="58" t="inlineStr">
        <is>
          <t>비고 (Note)</t>
        </is>
      </c>
      <c r="J3" s="55" t="inlineStr">
        <is>
          <t>SAP Plant Flow</t>
        </is>
      </c>
    </row>
    <row r="4" ht="79.09999999999999" customHeight="1" s="41">
      <c r="A4" s="56" t="inlineStr">
        <is>
          <t>US</t>
        </is>
      </c>
      <c r="B4" s="56" t="inlineStr">
        <is>
          <t>SK Life Science</t>
        </is>
      </c>
      <c r="C4" s="56" t="inlineStr">
        <is>
          <t>FP</t>
        </is>
      </c>
      <c r="D4" s="56" t="inlineStr">
        <is>
          <t>Lianhe
Wisdom</t>
        </is>
      </c>
      <c r="E4" s="56" t="inlineStr">
        <is>
          <t>SK biotek
(US API 합성)</t>
        </is>
      </c>
      <c r="F4" s="56" t="inlineStr">
        <is>
          <t>Patheon
(CMO A)</t>
        </is>
      </c>
      <c r="G4" s="56" t="inlineStr">
        <is>
          <t>Patheon (Britestock)
PCI CA (Blister Strip)</t>
        </is>
      </c>
      <c r="H4" s="56" t="inlineStr">
        <is>
          <t>Patheon (Bottle)
PCI CA (Blister Card)</t>
        </is>
      </c>
      <c r="I4" s="56" t="inlineStr">
        <is>
          <t>Patheon 라인:
RSM→API→DP→Britestock→Bottle
Blister 라인:
DP→Strip(PCI CA)→Card(PCI CA)</t>
        </is>
      </c>
      <c r="J4" s="56" t="inlineStr">
        <is>
          <t>1100 → 1210 → 1220 → 2100</t>
        </is>
      </c>
    </row>
    <row r="5" ht="47.75" customHeight="1" s="41">
      <c r="A5" s="56" t="inlineStr">
        <is>
          <t>US
(Avara 라인)</t>
        </is>
      </c>
      <c r="B5" s="56" t="inlineStr">
        <is>
          <t>SK Life Science</t>
        </is>
      </c>
      <c r="C5" s="56" t="inlineStr">
        <is>
          <t>FP</t>
        </is>
      </c>
      <c r="D5" s="56" t="inlineStr">
        <is>
          <t>Lianhe
Wisdom</t>
        </is>
      </c>
      <c r="E5" s="56" t="inlineStr">
        <is>
          <t>SK biotek
(US API 합성)</t>
        </is>
      </c>
      <c r="F5" s="56" t="inlineStr">
        <is>
          <t>Avara
(CMO B, US 전용)</t>
        </is>
      </c>
      <c r="G5" s="56" t="inlineStr">
        <is>
          <t>Avara (Britestock)</t>
        </is>
      </c>
      <c r="H5" s="56" t="inlineStr">
        <is>
          <t>PCI US (Bottle)
※ 50~200mg만</t>
        </is>
      </c>
      <c r="I5" s="56" t="inlineStr">
        <is>
          <t>Avara Tablet → PCI US Bottle
25mg Bottle은 Patheon만 제조</t>
        </is>
      </c>
      <c r="J5" s="56" t="inlineStr">
        <is>
          <t>1100 → 1310 → 1230 → 2100</t>
        </is>
      </c>
    </row>
    <row r="6" ht="26.85" customHeight="1" s="41">
      <c r="A6" s="56" t="inlineStr">
        <is>
          <t>EU</t>
        </is>
      </c>
      <c r="B6" s="56" t="inlineStr">
        <is>
          <t>Angelini</t>
        </is>
      </c>
      <c r="C6" s="56" t="inlineStr">
        <is>
          <t>API</t>
        </is>
      </c>
      <c r="D6" s="56" t="inlineStr">
        <is>
          <t>Lianhe
Wisdom</t>
        </is>
      </c>
      <c r="E6" s="56" t="inlineStr">
        <is>
          <t>SK biotek
(EU API 합성)</t>
        </is>
      </c>
      <c r="F6" s="57" t="inlineStr">
        <is>
          <t>파트너 자체</t>
        </is>
      </c>
      <c r="G6" s="57" t="inlineStr">
        <is>
          <t>파트너 자체</t>
        </is>
      </c>
      <c r="H6" s="57" t="inlineStr">
        <is>
          <t>파트너 자체</t>
        </is>
      </c>
      <c r="I6" s="56" t="inlineStr">
        <is>
          <t>RSM→API까지만 공급
Angelini 자체 DP/Pkg</t>
        </is>
      </c>
      <c r="J6" s="56" t="inlineStr">
        <is>
          <t>1100 → Partner</t>
        </is>
      </c>
    </row>
    <row r="7" ht="35.05" customHeight="1" s="41">
      <c r="A7" s="56" t="inlineStr">
        <is>
          <t>China</t>
        </is>
      </c>
      <c r="B7" s="56" t="inlineStr">
        <is>
          <t>Ignis</t>
        </is>
      </c>
      <c r="C7" s="56" t="inlineStr">
        <is>
          <t>FP</t>
        </is>
      </c>
      <c r="D7" s="56" t="inlineStr">
        <is>
          <t>Lianhe
Wisdom</t>
        </is>
      </c>
      <c r="E7" s="56" t="inlineStr">
        <is>
          <t>SK biotek
(US API→ROW1 코드변환)</t>
        </is>
      </c>
      <c r="F7" s="56" t="inlineStr">
        <is>
          <t>Patheon</t>
        </is>
      </c>
      <c r="G7" s="56" t="inlineStr">
        <is>
          <t>PCI CA
(Blister Strip)</t>
        </is>
      </c>
      <c r="H7" s="56" t="inlineStr">
        <is>
          <t>Patheon (Bottle)
PCI CA (Blister Card)</t>
        </is>
      </c>
      <c r="I7" s="56" t="inlineStr">
        <is>
          <t>CN Common Blend 적용
12.5mg×3 + 50mg×1</t>
        </is>
      </c>
      <c r="J7" s="56" t="inlineStr">
        <is>
          <t>1100 → 1210 → 1220 → Partner</t>
        </is>
      </c>
    </row>
    <row r="8" ht="35.05" customHeight="1" s="41">
      <c r="A8" s="56" t="inlineStr">
        <is>
          <t>Hong Kong</t>
        </is>
      </c>
      <c r="B8" s="56" t="inlineStr">
        <is>
          <t>Ignis</t>
        </is>
      </c>
      <c r="C8" s="56" t="inlineStr">
        <is>
          <t>DP</t>
        </is>
      </c>
      <c r="D8" s="56" t="inlineStr">
        <is>
          <t>Lianhe
Wisdom</t>
        </is>
      </c>
      <c r="E8" s="56" t="inlineStr">
        <is>
          <t>SK biotek
(US API→ROW1 코드변환)</t>
        </is>
      </c>
      <c r="F8" s="56" t="inlineStr">
        <is>
          <t>Patheon</t>
        </is>
      </c>
      <c r="G8" s="57" t="inlineStr">
        <is>
          <t>파트너 자체</t>
        </is>
      </c>
      <c r="H8" s="57" t="inlineStr">
        <is>
          <t>파트너 자체</t>
        </is>
      </c>
      <c r="I8" s="56" t="inlineStr">
        <is>
          <t>Tablet 형태로 공급
Ignis 자체 포장</t>
        </is>
      </c>
      <c r="J8" s="56" t="inlineStr">
        <is>
          <t>1100 → 1210 → Partner</t>
        </is>
      </c>
    </row>
    <row r="9" ht="26.85" customHeight="1" s="41">
      <c r="A9" s="56" t="inlineStr">
        <is>
          <t>Japan</t>
        </is>
      </c>
      <c r="B9" s="56" t="inlineStr">
        <is>
          <t>Ono</t>
        </is>
      </c>
      <c r="C9" s="56" t="inlineStr">
        <is>
          <t>API</t>
        </is>
      </c>
      <c r="D9" s="56" t="inlineStr">
        <is>
          <t>Lianhe
Wisdom</t>
        </is>
      </c>
      <c r="E9" s="56" t="inlineStr">
        <is>
          <t>SK biotek
(US API 합성)</t>
        </is>
      </c>
      <c r="F9" s="57" t="inlineStr">
        <is>
          <t>파트너 자체</t>
        </is>
      </c>
      <c r="G9" s="57" t="inlineStr">
        <is>
          <t>파트너 자체</t>
        </is>
      </c>
      <c r="H9" s="57" t="inlineStr">
        <is>
          <t>파트너 자체</t>
        </is>
      </c>
      <c r="I9" s="56" t="inlineStr">
        <is>
          <t>US API 공급
Ono 자체 DP/Pkg</t>
        </is>
      </c>
      <c r="J9" s="56" t="inlineStr">
        <is>
          <t>1100 → Partner</t>
        </is>
      </c>
    </row>
    <row r="10" ht="52.2" customHeight="1" s="41">
      <c r="A10" s="56" t="inlineStr">
        <is>
          <t>Canada</t>
        </is>
      </c>
      <c r="B10" s="56" t="inlineStr">
        <is>
          <t>Knight</t>
        </is>
      </c>
      <c r="C10" s="56" t="inlineStr">
        <is>
          <t>DP</t>
        </is>
      </c>
      <c r="D10" s="56" t="inlineStr">
        <is>
          <t>Lianhe
Wisdom</t>
        </is>
      </c>
      <c r="E10" s="56" t="inlineStr">
        <is>
          <t>SK biotek
(EU API→CA 코드변환)</t>
        </is>
      </c>
      <c r="F10" s="56" t="inlineStr">
        <is>
          <t>Patheon</t>
        </is>
      </c>
      <c r="G10" s="57" t="inlineStr">
        <is>
          <t>파트너 자체</t>
        </is>
      </c>
      <c r="H10" s="57" t="inlineStr">
        <is>
          <t>파트너 자체</t>
        </is>
      </c>
      <c r="I10" s="56" t="inlineStr">
        <is>
          <t>CA API = EU API 코드 변환
Tablel 공급, Knight 자체 포장</t>
        </is>
      </c>
      <c r="J10" s="56" t="inlineStr">
        <is>
          <t>1100 → 1210 → Partner</t>
        </is>
      </c>
    </row>
    <row r="11" ht="24.6" customHeight="1" s="41">
      <c r="A11" s="56" t="inlineStr">
        <is>
          <t>LATAM</t>
        </is>
      </c>
      <c r="B11" s="56" t="inlineStr">
        <is>
          <t>Eurofarma</t>
        </is>
      </c>
      <c r="C11" s="56" t="inlineStr">
        <is>
          <t>API</t>
        </is>
      </c>
      <c r="D11" s="56" t="inlineStr">
        <is>
          <t>Lianhe
Wisdom</t>
        </is>
      </c>
      <c r="E11" s="56" t="inlineStr">
        <is>
          <t>SK biotek
(US API 합성)</t>
        </is>
      </c>
      <c r="F11" s="57" t="inlineStr">
        <is>
          <t>파트너 자체</t>
        </is>
      </c>
      <c r="G11" s="57" t="inlineStr">
        <is>
          <t>파트너 자체</t>
        </is>
      </c>
      <c r="H11" s="57" t="inlineStr">
        <is>
          <t>파트너 자체</t>
        </is>
      </c>
      <c r="I11" s="56" t="inlineStr">
        <is>
          <t>US API 공급</t>
        </is>
      </c>
      <c r="J11" s="56" t="inlineStr">
        <is>
          <t>1100 → Partner</t>
        </is>
      </c>
    </row>
    <row r="12" ht="24.6" customHeight="1" s="41">
      <c r="A12" s="56" t="inlineStr">
        <is>
          <t>MENA</t>
        </is>
      </c>
      <c r="B12" s="56" t="inlineStr">
        <is>
          <t>Hikma</t>
        </is>
      </c>
      <c r="C12" s="56" t="inlineStr">
        <is>
          <t>API</t>
        </is>
      </c>
      <c r="D12" s="56" t="inlineStr">
        <is>
          <t>Lianhe
Wisdom</t>
        </is>
      </c>
      <c r="E12" s="56" t="inlineStr">
        <is>
          <t>SK biotek
(US API 합성)</t>
        </is>
      </c>
      <c r="F12" s="57" t="inlineStr">
        <is>
          <t>파트너 자체</t>
        </is>
      </c>
      <c r="G12" s="57" t="inlineStr">
        <is>
          <t>파트너 자체</t>
        </is>
      </c>
      <c r="H12" s="57" t="inlineStr">
        <is>
          <t>파트너 자체</t>
        </is>
      </c>
      <c r="I12" s="56" t="inlineStr">
        <is>
          <t>US API 공급</t>
        </is>
      </c>
      <c r="J12" s="56" t="inlineStr">
        <is>
          <t>1100 → Partner</t>
        </is>
      </c>
    </row>
    <row r="13" ht="24.6" customHeight="1" s="41">
      <c r="A13" s="56" t="inlineStr">
        <is>
          <t>Korea</t>
        </is>
      </c>
      <c r="B13" s="56" t="inlineStr">
        <is>
          <t>Dong-A ST</t>
        </is>
      </c>
      <c r="C13" s="56" t="inlineStr">
        <is>
          <t>API</t>
        </is>
      </c>
      <c r="D13" s="56" t="inlineStr">
        <is>
          <t>Lianhe
Wisdom</t>
        </is>
      </c>
      <c r="E13" s="56" t="inlineStr">
        <is>
          <t>SK biotek
(US API 합성)</t>
        </is>
      </c>
      <c r="F13" s="57" t="inlineStr">
        <is>
          <t>파트너 자체</t>
        </is>
      </c>
      <c r="G13" s="57" t="inlineStr">
        <is>
          <t>파트너 자체</t>
        </is>
      </c>
      <c r="H13" s="57" t="inlineStr">
        <is>
          <t>파트너 자체</t>
        </is>
      </c>
      <c r="I13" s="56" t="inlineStr">
        <is>
          <t>US API 공급</t>
        </is>
      </c>
      <c r="J13" s="56" t="inlineStr">
        <is>
          <t>1100 → Partner</t>
        </is>
      </c>
    </row>
    <row r="14" ht="39.55" customHeight="1" s="41">
      <c r="A14" s="56" t="inlineStr">
        <is>
          <t>Israel</t>
        </is>
      </c>
      <c r="B14" s="56" t="inlineStr">
        <is>
          <t>Dexcel</t>
        </is>
      </c>
      <c r="C14" s="56" t="inlineStr">
        <is>
          <t>DP</t>
        </is>
      </c>
      <c r="D14" s="56" t="inlineStr">
        <is>
          <t>Lianhe
Wisdom</t>
        </is>
      </c>
      <c r="E14" s="56" t="inlineStr">
        <is>
          <t>SK biotek
(US API→ROW1 코드변환)</t>
        </is>
      </c>
      <c r="F14" s="56" t="inlineStr">
        <is>
          <t>Patheon</t>
        </is>
      </c>
      <c r="G14" s="57" t="inlineStr">
        <is>
          <t>파트너 자체</t>
        </is>
      </c>
      <c r="H14" s="57" t="inlineStr">
        <is>
          <t>파트너 자체</t>
        </is>
      </c>
      <c r="I14" s="56" t="inlineStr">
        <is>
          <t>ROW1 API 기반 DP 공급
Dexcel 자체 포장</t>
        </is>
      </c>
      <c r="J14" s="56" t="inlineStr">
        <is>
          <t>1100 → 1210 → Partner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0" min="1" max="1"/>
    <col width="18" customWidth="1" style="40" min="2" max="5"/>
  </cols>
  <sheetData>
    <row r="1" ht="16.15" customHeight="1" s="41">
      <c r="A1" s="54" t="inlineStr">
        <is>
          <t>6. Plant &amp; Storage Location</t>
        </is>
      </c>
    </row>
    <row r="3" ht="15" customHeight="1" s="41">
      <c r="A3" s="59" t="inlineStr">
        <is>
          <t>Section A: Plant Master</t>
        </is>
      </c>
    </row>
    <row r="4" ht="24.6" customHeight="1" s="41">
      <c r="A4" s="55" t="inlineStr">
        <is>
          <t>Plant Code</t>
        </is>
      </c>
      <c r="B4" s="55" t="inlineStr">
        <is>
          <t>Plant Name</t>
        </is>
      </c>
      <c r="C4" s="55" t="inlineStr">
        <is>
          <t>Search Term 1</t>
        </is>
      </c>
      <c r="D4" s="55" t="inlineStr">
        <is>
          <t>Search Term 2</t>
        </is>
      </c>
      <c r="E4" s="55" t="inlineStr">
        <is>
          <t>Mapped CMO
역할</t>
        </is>
      </c>
    </row>
    <row r="5" ht="26.85" customHeight="1" s="41">
      <c r="A5" s="56" t="inlineStr">
        <is>
          <t>1100</t>
        </is>
      </c>
      <c r="B5" s="56" t="inlineStr">
        <is>
          <t>SK BP 본사</t>
        </is>
      </c>
      <c r="C5" s="56" t="inlineStr">
        <is>
          <t>SKBP-HQ</t>
        </is>
      </c>
      <c r="D5" s="56" t="inlineStr">
        <is>
          <t>SKBP-HQ</t>
        </is>
      </c>
      <c r="E5" s="56" t="inlineStr">
        <is>
          <t>RSM·API 수령 및 관리 (본사)</t>
        </is>
      </c>
    </row>
    <row r="6" ht="24.6" customHeight="1" s="41">
      <c r="A6" s="56" t="inlineStr">
        <is>
          <t>1210</t>
        </is>
      </c>
      <c r="B6" s="56" t="inlineStr">
        <is>
          <t>SKBP-Patheon</t>
        </is>
      </c>
      <c r="C6" s="56" t="inlineStr">
        <is>
          <t>SKBP-PATHEON</t>
        </is>
      </c>
      <c r="D6" s="56" t="inlineStr">
        <is>
          <t>SKBP-PATHEON</t>
        </is>
      </c>
      <c r="E6" s="56" t="inlineStr">
        <is>
          <t>Patheon (DP·SP·FP 제조)</t>
        </is>
      </c>
    </row>
    <row r="7" ht="22.35" customHeight="1" s="41">
      <c r="A7" s="56" t="inlineStr">
        <is>
          <t>1220</t>
        </is>
      </c>
      <c r="B7" s="56" t="inlineStr">
        <is>
          <t>SKBP-PCI</t>
        </is>
      </c>
      <c r="C7" s="56" t="inlineStr">
        <is>
          <t>SKBP-PCI</t>
        </is>
      </c>
      <c r="D7" s="56" t="inlineStr">
        <is>
          <t>SKBP-PCI</t>
        </is>
      </c>
      <c r="E7" s="56" t="inlineStr">
        <is>
          <t>PCI CA (Blister Strip·Card)</t>
        </is>
      </c>
    </row>
    <row r="8" ht="22.35" customHeight="1" s="41">
      <c r="A8" s="56" t="inlineStr">
        <is>
          <t>1230</t>
        </is>
      </c>
      <c r="B8" s="56" t="inlineStr">
        <is>
          <t>SKBP-PCI US</t>
        </is>
      </c>
      <c r="C8" s="56" t="inlineStr">
        <is>
          <t>SKBP-PCI US</t>
        </is>
      </c>
      <c r="D8" s="56" t="inlineStr">
        <is>
          <t>SKBP-PCI US</t>
        </is>
      </c>
      <c r="E8" s="56" t="inlineStr">
        <is>
          <t>PCI US (Bottle Packaging)</t>
        </is>
      </c>
    </row>
    <row r="9" ht="26.85" customHeight="1" s="41">
      <c r="A9" s="56" t="inlineStr">
        <is>
          <t>1310</t>
        </is>
      </c>
      <c r="B9" s="56" t="inlineStr">
        <is>
          <t>SKBP-AVARA</t>
        </is>
      </c>
      <c r="C9" s="56" t="inlineStr">
        <is>
          <t>SKBP-AVARA</t>
        </is>
      </c>
      <c r="D9" s="56" t="inlineStr">
        <is>
          <t>SKBP-AVARA</t>
        </is>
      </c>
      <c r="E9" s="56" t="inlineStr">
        <is>
          <t>Avara (DP 제조 - US 전용)</t>
        </is>
      </c>
    </row>
    <row r="10" ht="22.35" customHeight="1" s="41">
      <c r="A10" s="56" t="inlineStr">
        <is>
          <t>2020</t>
        </is>
      </c>
      <c r="B10" s="56" t="inlineStr">
        <is>
          <t>SK Life Science Lab Inc.</t>
        </is>
      </c>
      <c r="C10" s="56" t="inlineStr">
        <is>
          <t>SKLSL</t>
        </is>
      </c>
      <c r="D10" s="56" t="inlineStr">
        <is>
          <t>SKLSL</t>
        </is>
      </c>
      <c r="E10" s="56" t="inlineStr">
        <is>
          <t>SKLSL (Lab)</t>
        </is>
      </c>
    </row>
    <row r="11" ht="22.35" customHeight="1" s="41">
      <c r="A11" s="56" t="inlineStr">
        <is>
          <t>2100</t>
        </is>
      </c>
      <c r="B11" s="56" t="inlineStr">
        <is>
          <t>SK Life Science Inc.</t>
        </is>
      </c>
      <c r="C11" s="56" t="inlineStr">
        <is>
          <t>SKLSI</t>
        </is>
      </c>
      <c r="D11" s="56" t="inlineStr">
        <is>
          <t>SKLSI</t>
        </is>
      </c>
      <c r="E11" s="56" t="inlineStr">
        <is>
          <t>SKLSI (US Distribution·3PL)</t>
        </is>
      </c>
    </row>
    <row r="12" ht="15" customHeight="1" s="41">
      <c r="A12" s="59" t="inlineStr">
        <is>
          <t>Section B: Storage Location</t>
        </is>
      </c>
    </row>
    <row r="13" ht="15" customHeight="1" s="41">
      <c r="A13" s="55" t="inlineStr">
        <is>
          <t>Plant</t>
        </is>
      </c>
      <c r="B13" s="55" t="inlineStr">
        <is>
          <t>Location</t>
        </is>
      </c>
      <c r="C13" s="55" t="inlineStr">
        <is>
          <t>Description</t>
        </is>
      </c>
      <c r="D13" s="55" t="inlineStr">
        <is>
          <t>Material Stage</t>
        </is>
      </c>
    </row>
    <row r="14" ht="15" customHeight="1" s="41">
      <c r="A14" s="56" t="inlineStr">
        <is>
          <t>1100</t>
        </is>
      </c>
      <c r="B14" s="56" t="inlineStr">
        <is>
          <t>1100</t>
        </is>
      </c>
      <c r="C14" s="56" t="inlineStr">
        <is>
          <t>RMat.S/L</t>
        </is>
      </c>
      <c r="D14" s="56" t="inlineStr">
        <is>
          <t>RSM/RM</t>
        </is>
      </c>
    </row>
    <row r="15" ht="15" customHeight="1" s="41">
      <c r="A15" s="56" t="inlineStr">
        <is>
          <t>1100</t>
        </is>
      </c>
      <c r="B15" s="56" t="inlineStr">
        <is>
          <t>1101</t>
        </is>
      </c>
      <c r="C15" s="56" t="inlineStr">
        <is>
          <t>RMat1941(Lianhe)</t>
        </is>
      </c>
      <c r="D15" s="56" t="inlineStr">
        <is>
          <t>RSM/RM</t>
        </is>
      </c>
    </row>
    <row r="16" ht="15" customHeight="1" s="41">
      <c r="A16" s="56" t="inlineStr">
        <is>
          <t>1100</t>
        </is>
      </c>
      <c r="B16" s="56" t="inlineStr">
        <is>
          <t>1102</t>
        </is>
      </c>
      <c r="C16" s="56" t="inlineStr">
        <is>
          <t>RMat1941(Wisdom)</t>
        </is>
      </c>
      <c r="D16" s="56" t="inlineStr">
        <is>
          <t>RSM/RM</t>
        </is>
      </c>
    </row>
    <row r="17" ht="15" customHeight="1" s="41">
      <c r="A17" s="56" t="inlineStr">
        <is>
          <t>1100</t>
        </is>
      </c>
      <c r="B17" s="56" t="inlineStr">
        <is>
          <t>1103</t>
        </is>
      </c>
      <c r="C17" s="56" t="inlineStr">
        <is>
          <t>RM1941DSVYJ</t>
        </is>
      </c>
      <c r="D17" s="56" t="inlineStr">
        <is>
          <t>-</t>
        </is>
      </c>
    </row>
    <row r="18" ht="15" customHeight="1" s="41">
      <c r="A18" s="56" t="inlineStr">
        <is>
          <t>1100</t>
        </is>
      </c>
      <c r="B18" s="56" t="inlineStr">
        <is>
          <t>1104</t>
        </is>
      </c>
      <c r="C18" s="56" t="inlineStr">
        <is>
          <t>Sub3089DSVYJ</t>
        </is>
      </c>
      <c r="D18" s="56" t="inlineStr">
        <is>
          <t>API (Intermediate)</t>
        </is>
      </c>
    </row>
    <row r="19" ht="15" customHeight="1" s="41">
      <c r="A19" s="56" t="inlineStr">
        <is>
          <t>1100</t>
        </is>
      </c>
      <c r="B19" s="56" t="inlineStr">
        <is>
          <t>1105</t>
        </is>
      </c>
      <c r="C19" s="56" t="inlineStr">
        <is>
          <t>RM1941DSVIC</t>
        </is>
      </c>
      <c r="D19" s="56" t="inlineStr">
        <is>
          <t>-</t>
        </is>
      </c>
    </row>
    <row r="20" ht="15" customHeight="1" s="41">
      <c r="A20" s="56" t="inlineStr">
        <is>
          <t>1100</t>
        </is>
      </c>
      <c r="B20" s="56" t="inlineStr">
        <is>
          <t>1106</t>
        </is>
      </c>
      <c r="C20" s="56" t="inlineStr">
        <is>
          <t>Sub3089DSVIC</t>
        </is>
      </c>
      <c r="D20" s="56" t="inlineStr">
        <is>
          <t>API (Intermediate)</t>
        </is>
      </c>
    </row>
    <row r="21" ht="15" customHeight="1" s="41">
      <c r="A21" s="56" t="inlineStr">
        <is>
          <t>1100</t>
        </is>
      </c>
      <c r="B21" s="56" t="inlineStr">
        <is>
          <t>3100</t>
        </is>
      </c>
      <c r="C21" s="56" t="inlineStr">
        <is>
          <t>DP (Semi-P) S/L</t>
        </is>
      </c>
      <c r="D21" s="56" t="inlineStr">
        <is>
          <t>DP</t>
        </is>
      </c>
    </row>
    <row r="22" ht="15" customHeight="1" s="41">
      <c r="A22" s="56" t="inlineStr">
        <is>
          <t>1100</t>
        </is>
      </c>
      <c r="B22" s="56" t="inlineStr">
        <is>
          <t>4100</t>
        </is>
      </c>
      <c r="C22" s="56" t="inlineStr">
        <is>
          <t>SP (Semi-P) S/L</t>
        </is>
      </c>
      <c r="D22" s="56" t="inlineStr">
        <is>
          <t>Semi-FP</t>
        </is>
      </c>
    </row>
    <row r="23" ht="15" customHeight="1" s="41">
      <c r="A23" s="56" t="inlineStr">
        <is>
          <t>1100</t>
        </is>
      </c>
      <c r="B23" s="56" t="inlineStr">
        <is>
          <t>5100</t>
        </is>
      </c>
      <c r="C23" s="56" t="inlineStr">
        <is>
          <t>FP (Final-P) S/L</t>
        </is>
      </c>
      <c r="D23" s="56" t="inlineStr">
        <is>
          <t>FP</t>
        </is>
      </c>
    </row>
    <row r="24" ht="15" customHeight="1" s="41">
      <c r="A24" s="56" t="inlineStr">
        <is>
          <t>1100</t>
        </is>
      </c>
      <c r="B24" s="56" t="inlineStr">
        <is>
          <t>9100</t>
        </is>
      </c>
      <c r="C24" s="56" t="inlineStr">
        <is>
          <t>Sales Return-S/L</t>
        </is>
      </c>
      <c r="D24" s="56" t="inlineStr">
        <is>
          <t>Return</t>
        </is>
      </c>
    </row>
    <row r="25" ht="15" customHeight="1" s="41">
      <c r="A25" s="56" t="inlineStr">
        <is>
          <t>1100</t>
        </is>
      </c>
      <c r="B25" s="56" t="inlineStr">
        <is>
          <t>R101</t>
        </is>
      </c>
      <c r="C25" s="56" t="inlineStr">
        <is>
          <t>Sub-Caris(Micro)</t>
        </is>
      </c>
      <c r="D25" s="56" t="inlineStr">
        <is>
          <t>API (Intermediate)</t>
        </is>
      </c>
    </row>
    <row r="26" ht="15" customHeight="1" s="41">
      <c r="A26" s="56" t="inlineStr">
        <is>
          <t>1100</t>
        </is>
      </c>
      <c r="B26" s="56" t="inlineStr">
        <is>
          <t>R102</t>
        </is>
      </c>
      <c r="C26" s="56" t="inlineStr">
        <is>
          <t>SubCaris_Cambrex</t>
        </is>
      </c>
      <c r="D26" s="56" t="inlineStr">
        <is>
          <t>API (Intermediate)</t>
        </is>
      </c>
    </row>
    <row r="27" ht="15" customHeight="1" s="41">
      <c r="A27" s="56" t="inlineStr">
        <is>
          <t>1100</t>
        </is>
      </c>
      <c r="B27" s="56" t="inlineStr">
        <is>
          <t>V101</t>
        </is>
      </c>
      <c r="C27" s="56" t="inlineStr">
        <is>
          <t>RMat1941(Porton)</t>
        </is>
      </c>
      <c r="D27" s="56" t="inlineStr">
        <is>
          <t>RSM/RM</t>
        </is>
      </c>
    </row>
    <row r="28" ht="15" customHeight="1" s="41">
      <c r="A28" s="56" t="inlineStr">
        <is>
          <t>1100</t>
        </is>
      </c>
      <c r="B28" s="56" t="inlineStr">
        <is>
          <t>V201</t>
        </is>
      </c>
      <c r="C28" s="56" t="inlineStr">
        <is>
          <t>Sub3089(Porton)</t>
        </is>
      </c>
      <c r="D28" s="56" t="inlineStr">
        <is>
          <t>API (Intermediate)</t>
        </is>
      </c>
    </row>
    <row r="29" ht="15" customHeight="1" s="41">
      <c r="A29" s="56" t="inlineStr">
        <is>
          <t>1100</t>
        </is>
      </c>
      <c r="B29" s="56" t="inlineStr">
        <is>
          <t>V202</t>
        </is>
      </c>
      <c r="C29" s="56" t="inlineStr">
        <is>
          <t>Sub3089(BT)</t>
        </is>
      </c>
      <c r="D29" s="56" t="inlineStr">
        <is>
          <t>API (Intermediate)</t>
        </is>
      </c>
    </row>
    <row r="30" ht="15" customHeight="1" s="41">
      <c r="A30" s="56" t="inlineStr">
        <is>
          <t>1210</t>
        </is>
      </c>
      <c r="B30" s="56" t="inlineStr">
        <is>
          <t>V101</t>
        </is>
      </c>
      <c r="C30" s="56" t="inlineStr">
        <is>
          <t>RM-Patheon</t>
        </is>
      </c>
      <c r="D30" s="56" t="inlineStr">
        <is>
          <t>RSM/RM</t>
        </is>
      </c>
    </row>
    <row r="31" ht="15" customHeight="1" s="41">
      <c r="A31" s="56" t="inlineStr">
        <is>
          <t>1210</t>
        </is>
      </c>
      <c r="B31" s="56" t="inlineStr">
        <is>
          <t>V301</t>
        </is>
      </c>
      <c r="C31" s="56" t="inlineStr">
        <is>
          <t>DP-Patheon</t>
        </is>
      </c>
      <c r="D31" s="56" t="inlineStr">
        <is>
          <t>DP</t>
        </is>
      </c>
    </row>
    <row r="32" ht="15" customHeight="1" s="41">
      <c r="A32" s="56" t="inlineStr">
        <is>
          <t>1210</t>
        </is>
      </c>
      <c r="B32" s="56" t="inlineStr">
        <is>
          <t>V401</t>
        </is>
      </c>
      <c r="C32" s="56" t="inlineStr">
        <is>
          <t>SP-Patheon</t>
        </is>
      </c>
      <c r="D32" s="56" t="inlineStr">
        <is>
          <t>Semi-FP</t>
        </is>
      </c>
    </row>
    <row r="33" ht="15" customHeight="1" s="41">
      <c r="A33" s="56" t="inlineStr">
        <is>
          <t>1210</t>
        </is>
      </c>
      <c r="B33" s="56" t="inlineStr">
        <is>
          <t>V501</t>
        </is>
      </c>
      <c r="C33" s="56" t="inlineStr">
        <is>
          <t>FP-Patheon</t>
        </is>
      </c>
      <c r="D33" s="56" t="inlineStr">
        <is>
          <t>FP</t>
        </is>
      </c>
    </row>
    <row r="34" ht="15" customHeight="1" s="41">
      <c r="A34" s="56" t="inlineStr">
        <is>
          <t>1210</t>
        </is>
      </c>
      <c r="B34" s="56" t="inlineStr">
        <is>
          <t>V901</t>
        </is>
      </c>
      <c r="C34" s="56" t="inlineStr">
        <is>
          <t>Sales Return</t>
        </is>
      </c>
      <c r="D34" s="56" t="inlineStr">
        <is>
          <t>Return</t>
        </is>
      </c>
    </row>
    <row r="35" ht="15" customHeight="1" s="41">
      <c r="A35" s="56" t="inlineStr">
        <is>
          <t>1220</t>
        </is>
      </c>
      <c r="B35" s="56" t="inlineStr">
        <is>
          <t>V101</t>
        </is>
      </c>
      <c r="C35" s="56" t="inlineStr">
        <is>
          <t>RM-PCI Mis</t>
        </is>
      </c>
      <c r="D35" s="56" t="inlineStr">
        <is>
          <t>RSM/RM</t>
        </is>
      </c>
    </row>
    <row r="36" ht="15" customHeight="1" s="41">
      <c r="A36" s="56" t="inlineStr">
        <is>
          <t>1220</t>
        </is>
      </c>
      <c r="B36" s="56" t="inlineStr">
        <is>
          <t>V102</t>
        </is>
      </c>
      <c r="C36" s="56" t="inlineStr">
        <is>
          <t>RM-PCI BRT</t>
        </is>
      </c>
      <c r="D36" s="56" t="inlineStr">
        <is>
          <t>RSM/RM</t>
        </is>
      </c>
    </row>
    <row r="37" ht="15" customHeight="1" s="41">
      <c r="A37" s="56" t="inlineStr">
        <is>
          <t>1220</t>
        </is>
      </c>
      <c r="B37" s="56" t="inlineStr">
        <is>
          <t>V301</t>
        </is>
      </c>
      <c r="C37" s="56" t="inlineStr">
        <is>
          <t>DP-PCI Mis</t>
        </is>
      </c>
      <c r="D37" s="56" t="inlineStr">
        <is>
          <t>DP</t>
        </is>
      </c>
    </row>
    <row r="38" ht="15" customHeight="1" s="41">
      <c r="A38" s="56" t="inlineStr">
        <is>
          <t>1220</t>
        </is>
      </c>
      <c r="B38" s="56" t="inlineStr">
        <is>
          <t>V302</t>
        </is>
      </c>
      <c r="C38" s="56" t="inlineStr">
        <is>
          <t>DP-PCI BRT</t>
        </is>
      </c>
      <c r="D38" s="56" t="inlineStr">
        <is>
          <t>DP</t>
        </is>
      </c>
    </row>
    <row r="39" ht="15" customHeight="1" s="41">
      <c r="A39" s="56" t="inlineStr">
        <is>
          <t>1220</t>
        </is>
      </c>
      <c r="B39" s="56" t="inlineStr">
        <is>
          <t>V401</t>
        </is>
      </c>
      <c r="C39" s="56" t="inlineStr">
        <is>
          <t>SP-PCI Mis</t>
        </is>
      </c>
      <c r="D39" s="56" t="inlineStr">
        <is>
          <t>Semi-FP</t>
        </is>
      </c>
    </row>
    <row r="40" ht="15" customHeight="1" s="41">
      <c r="A40" s="56" t="inlineStr">
        <is>
          <t>1220</t>
        </is>
      </c>
      <c r="B40" s="56" t="inlineStr">
        <is>
          <t>V402</t>
        </is>
      </c>
      <c r="C40" s="56" t="inlineStr">
        <is>
          <t>SP-PCI BRT</t>
        </is>
      </c>
      <c r="D40" s="56" t="inlineStr">
        <is>
          <t>Semi-FP</t>
        </is>
      </c>
    </row>
    <row r="41" ht="15" customHeight="1" s="41">
      <c r="A41" s="56" t="inlineStr">
        <is>
          <t>1220</t>
        </is>
      </c>
      <c r="B41" s="56" t="inlineStr">
        <is>
          <t>V501</t>
        </is>
      </c>
      <c r="C41" s="56" t="inlineStr">
        <is>
          <t>FP-PCI Mis</t>
        </is>
      </c>
      <c r="D41" s="56" t="inlineStr">
        <is>
          <t>FP</t>
        </is>
      </c>
    </row>
    <row r="42" ht="15" customHeight="1" s="41">
      <c r="A42" s="56" t="inlineStr">
        <is>
          <t>1220</t>
        </is>
      </c>
      <c r="B42" s="56" t="inlineStr">
        <is>
          <t>V502</t>
        </is>
      </c>
      <c r="C42" s="56" t="inlineStr">
        <is>
          <t>FP-PCI BRT</t>
        </is>
      </c>
      <c r="D42" s="56" t="inlineStr">
        <is>
          <t>FP</t>
        </is>
      </c>
    </row>
    <row r="43" ht="15" customHeight="1" s="41">
      <c r="A43" s="56" t="inlineStr">
        <is>
          <t>1220</t>
        </is>
      </c>
      <c r="B43" s="56" t="inlineStr">
        <is>
          <t>V901</t>
        </is>
      </c>
      <c r="C43" s="56" t="inlineStr">
        <is>
          <t>Sales Return</t>
        </is>
      </c>
      <c r="D43" s="56" t="inlineStr">
        <is>
          <t>Return</t>
        </is>
      </c>
    </row>
    <row r="44" ht="15" customHeight="1" s="41">
      <c r="A44" s="56" t="inlineStr">
        <is>
          <t>1230</t>
        </is>
      </c>
      <c r="B44" s="56" t="inlineStr">
        <is>
          <t>V101</t>
        </is>
      </c>
      <c r="C44" s="56" t="inlineStr">
        <is>
          <t>RM-PCI US</t>
        </is>
      </c>
      <c r="D44" s="56" t="inlineStr">
        <is>
          <t>RSM/RM</t>
        </is>
      </c>
    </row>
    <row r="45" ht="15" customHeight="1" s="41">
      <c r="A45" s="56" t="inlineStr">
        <is>
          <t>1230</t>
        </is>
      </c>
      <c r="B45" s="56" t="inlineStr">
        <is>
          <t>V301</t>
        </is>
      </c>
      <c r="C45" s="56" t="inlineStr">
        <is>
          <t>DP-PCI US</t>
        </is>
      </c>
      <c r="D45" s="56" t="inlineStr">
        <is>
          <t>DP</t>
        </is>
      </c>
    </row>
    <row r="46" ht="15" customHeight="1" s="41">
      <c r="A46" s="56" t="inlineStr">
        <is>
          <t>1230</t>
        </is>
      </c>
      <c r="B46" s="56" t="inlineStr">
        <is>
          <t>V401</t>
        </is>
      </c>
      <c r="C46" s="56" t="inlineStr">
        <is>
          <t>SP-PCI US</t>
        </is>
      </c>
      <c r="D46" s="56" t="inlineStr">
        <is>
          <t>Semi-FP</t>
        </is>
      </c>
    </row>
    <row r="47" ht="15" customHeight="1" s="41">
      <c r="A47" s="56" t="inlineStr">
        <is>
          <t>1230</t>
        </is>
      </c>
      <c r="B47" s="56" t="inlineStr">
        <is>
          <t>V501</t>
        </is>
      </c>
      <c r="C47" s="56" t="inlineStr">
        <is>
          <t>FP-PCI US</t>
        </is>
      </c>
      <c r="D47" s="56" t="inlineStr">
        <is>
          <t>FP</t>
        </is>
      </c>
    </row>
    <row r="48" ht="15" customHeight="1" s="41">
      <c r="A48" s="56" t="inlineStr">
        <is>
          <t>1230</t>
        </is>
      </c>
      <c r="B48" s="56" t="inlineStr">
        <is>
          <t>V901</t>
        </is>
      </c>
      <c r="C48" s="56" t="inlineStr">
        <is>
          <t>Sales Return</t>
        </is>
      </c>
      <c r="D48" s="56" t="inlineStr">
        <is>
          <t>Return</t>
        </is>
      </c>
    </row>
    <row r="49" ht="15" customHeight="1" s="41">
      <c r="A49" s="56" t="inlineStr">
        <is>
          <t>1310</t>
        </is>
      </c>
      <c r="B49" s="56" t="inlineStr">
        <is>
          <t>V101</t>
        </is>
      </c>
      <c r="C49" s="56" t="inlineStr">
        <is>
          <t>RM-AVARA</t>
        </is>
      </c>
      <c r="D49" s="56" t="inlineStr">
        <is>
          <t>RSM/RM</t>
        </is>
      </c>
    </row>
    <row r="50" ht="15" customHeight="1" s="41">
      <c r="A50" s="56" t="inlineStr">
        <is>
          <t>1310</t>
        </is>
      </c>
      <c r="B50" s="56" t="inlineStr">
        <is>
          <t>V301</t>
        </is>
      </c>
      <c r="C50" s="56" t="inlineStr">
        <is>
          <t>DP-AVARA</t>
        </is>
      </c>
      <c r="D50" s="56" t="inlineStr">
        <is>
          <t>DP</t>
        </is>
      </c>
    </row>
    <row r="51" ht="15" customHeight="1" s="41">
      <c r="A51" s="56" t="inlineStr">
        <is>
          <t>1310</t>
        </is>
      </c>
      <c r="B51" s="56" t="inlineStr">
        <is>
          <t>V401</t>
        </is>
      </c>
      <c r="C51" s="56" t="inlineStr">
        <is>
          <t>SP-AVARA</t>
        </is>
      </c>
      <c r="D51" s="56" t="inlineStr">
        <is>
          <t>Semi-FP</t>
        </is>
      </c>
    </row>
    <row r="52" ht="15" customHeight="1" s="41">
      <c r="A52" s="56" t="inlineStr">
        <is>
          <t>1310</t>
        </is>
      </c>
      <c r="B52" s="56" t="inlineStr">
        <is>
          <t>V501</t>
        </is>
      </c>
      <c r="C52" s="56" t="inlineStr">
        <is>
          <t>FP-AVARA</t>
        </is>
      </c>
      <c r="D52" s="56" t="inlineStr">
        <is>
          <t>FP</t>
        </is>
      </c>
    </row>
    <row r="53" ht="15" customHeight="1" s="41">
      <c r="A53" s="56" t="inlineStr">
        <is>
          <t>1310</t>
        </is>
      </c>
      <c r="B53" s="56" t="inlineStr">
        <is>
          <t>V901</t>
        </is>
      </c>
      <c r="C53" s="56" t="inlineStr">
        <is>
          <t>Sales Return</t>
        </is>
      </c>
      <c r="D53" s="56" t="inlineStr">
        <is>
          <t>Return</t>
        </is>
      </c>
    </row>
    <row r="54" ht="15" customHeight="1" s="41">
      <c r="A54" s="56" t="inlineStr">
        <is>
          <t>2020</t>
        </is>
      </c>
      <c r="B54" s="56" t="inlineStr">
        <is>
          <t>5100</t>
        </is>
      </c>
      <c r="C54" s="56" t="inlineStr">
        <is>
          <t>Gen. Store</t>
        </is>
      </c>
      <c r="D54" s="56" t="inlineStr">
        <is>
          <t>General</t>
        </is>
      </c>
    </row>
    <row r="55" ht="15" customHeight="1" s="41">
      <c r="A55" s="56" t="inlineStr">
        <is>
          <t>2100</t>
        </is>
      </c>
      <c r="B55" s="56" t="inlineStr">
        <is>
          <t>5100</t>
        </is>
      </c>
      <c r="C55" s="56" t="inlineStr">
        <is>
          <t>In-Transit-CAD</t>
        </is>
      </c>
      <c r="D55" s="56" t="inlineStr">
        <is>
          <t>In-Transit</t>
        </is>
      </c>
    </row>
    <row r="56" ht="15" customHeight="1" s="41">
      <c r="A56" s="56" t="inlineStr">
        <is>
          <t>2100</t>
        </is>
      </c>
      <c r="B56" s="56" t="inlineStr">
        <is>
          <t>5105</t>
        </is>
      </c>
      <c r="C56" s="56" t="inlineStr">
        <is>
          <t>In-Transit-KNP</t>
        </is>
      </c>
      <c r="D56" s="56" t="inlineStr">
        <is>
          <t>In-Transit</t>
        </is>
      </c>
    </row>
    <row r="57" ht="15" customHeight="1" s="41">
      <c r="A57" s="56" t="inlineStr">
        <is>
          <t>2100</t>
        </is>
      </c>
      <c r="B57" s="56" t="inlineStr">
        <is>
          <t>5200</t>
        </is>
      </c>
      <c r="C57" s="56" t="inlineStr">
        <is>
          <t>Cardinal (3PL)</t>
        </is>
      </c>
      <c r="D57" s="56" t="inlineStr">
        <is>
          <t>3PL/Distribution</t>
        </is>
      </c>
    </row>
    <row r="58" ht="15" customHeight="1" s="41">
      <c r="A58" s="56" t="inlineStr">
        <is>
          <t>2100</t>
        </is>
      </c>
      <c r="B58" s="56" t="inlineStr">
        <is>
          <t>5300</t>
        </is>
      </c>
      <c r="C58" s="56" t="inlineStr">
        <is>
          <t>Return</t>
        </is>
      </c>
      <c r="D58" s="56" t="inlineStr">
        <is>
          <t>Return</t>
        </is>
      </c>
    </row>
    <row r="59" ht="15" customHeight="1" s="41">
      <c r="A59" s="56" t="inlineStr">
        <is>
          <t>2100</t>
        </is>
      </c>
      <c r="B59" s="56" t="inlineStr">
        <is>
          <t>5400</t>
        </is>
      </c>
      <c r="C59" s="56" t="inlineStr">
        <is>
          <t>Walgreens HUB</t>
        </is>
      </c>
      <c r="D59" s="56" t="inlineStr">
        <is>
          <t>3PL/Distribution</t>
        </is>
      </c>
    </row>
    <row r="60" ht="15" customHeight="1" s="41">
      <c r="A60" s="56" t="inlineStr">
        <is>
          <t>2100</t>
        </is>
      </c>
      <c r="B60" s="56" t="inlineStr">
        <is>
          <t>5500</t>
        </is>
      </c>
      <c r="C60" s="56" t="inlineStr">
        <is>
          <t>Knipper (3PL)</t>
        </is>
      </c>
      <c r="D60" s="56" t="inlineStr">
        <is>
          <t>3PL/Distribution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style="41" min="1" max="1"/>
    <col width="22" customWidth="1" style="41" min="2" max="2"/>
    <col width="26" customWidth="1" style="41" min="3" max="3"/>
    <col width="40" customWidth="1" style="41" min="4" max="4"/>
    <col width="22" customWidth="1" style="41" min="5" max="5"/>
    <col width="13" customWidth="1" style="41" min="6" max="6"/>
    <col width="34" customWidth="1" style="41" min="7" max="7"/>
  </cols>
  <sheetData>
    <row r="1">
      <c r="A1" s="60" t="inlineStr">
        <is>
          <t>5B. Legacy API Codes (과거 코드 — RSM 미관리, API부터 구매·관리 / 현재 재고 없음·이력 보존)</t>
        </is>
      </c>
    </row>
    <row r="2">
      <c r="A2" s="61" t="inlineStr">
        <is>
          <t>legacy_code</t>
        </is>
      </c>
      <c r="B2" s="61" t="inlineStr">
        <is>
          <t>material_description</t>
        </is>
      </c>
      <c r="C2" s="61" t="inlineStr">
        <is>
          <t>supply_use</t>
        </is>
      </c>
      <c r="D2" s="61" t="inlineStr">
        <is>
          <t>conversion_flow</t>
        </is>
      </c>
      <c r="E2" s="61" t="inlineStr">
        <is>
          <t>current_code_map</t>
        </is>
      </c>
      <c r="F2" s="61" t="inlineStr">
        <is>
          <t>status</t>
        </is>
      </c>
      <c r="G2" s="61" t="inlineStr">
        <is>
          <t>note</t>
        </is>
      </c>
    </row>
    <row r="3">
      <c r="A3" s="62" t="inlineStr">
        <is>
          <t>1CNZ001ZZZZZ</t>
        </is>
      </c>
      <c r="B3" s="63" t="inlineStr">
        <is>
          <t>Cenobamate API_US</t>
        </is>
      </c>
      <c r="C3" s="63" t="inlineStr">
        <is>
          <t>US FP에 투입되어 사용</t>
        </is>
      </c>
      <c r="D3" s="63" t="inlineStr">
        <is>
          <t>→ 1CNZ004ZZZZZ(API_ROW1)로 코드 변환되어 China·HongKong·Israel용 DP에 투입</t>
        </is>
      </c>
      <c r="E3" s="63" t="inlineStr">
        <is>
          <t>2CNY001ZZZZZ (API_US)</t>
        </is>
      </c>
      <c r="F3" s="63" t="inlineStr">
        <is>
          <t>discontinued</t>
        </is>
      </c>
      <c r="G3" s="63" t="inlineStr">
        <is>
          <t>RSM 미관리 시기 — API가 구매 시작점(Level 0)</t>
        </is>
      </c>
    </row>
    <row r="4">
      <c r="A4" s="62" t="inlineStr">
        <is>
          <t>1CNZ004ZZZZZ</t>
        </is>
      </c>
      <c r="B4" s="63" t="inlineStr">
        <is>
          <t>Cenobamate API_ROW1</t>
        </is>
      </c>
      <c r="C4" s="63" t="inlineStr">
        <is>
          <t>China·HongKong·Israel용 DP에 투입</t>
        </is>
      </c>
      <c r="D4" s="63" t="inlineStr">
        <is>
          <t>1CNZ001ZZZZZ(API_US)에서 코드 변환 (물리 공정 없음)</t>
        </is>
      </c>
      <c r="E4" s="63" t="inlineStr">
        <is>
          <t>2CNY004ZZZZZ (API_ROW1)</t>
        </is>
      </c>
      <c r="F4" s="63" t="inlineStr">
        <is>
          <t>discontinued</t>
        </is>
      </c>
      <c r="G4" s="63" t="inlineStr">
        <is>
          <t>US API → ROW1 코드 변환</t>
        </is>
      </c>
    </row>
    <row r="5">
      <c r="A5" s="62" t="inlineStr">
        <is>
          <t>1CNZ002ZZZZZ</t>
        </is>
      </c>
      <c r="B5" s="63" t="inlineStr">
        <is>
          <t>Cenobamate API_ROW</t>
        </is>
      </c>
      <c r="C5" s="63" t="inlineStr">
        <is>
          <t>EU DP에 투입되어 사용 (현재는 EU에 API를 공급)</t>
        </is>
      </c>
      <c r="D5" s="63" t="inlineStr">
        <is>
          <t>EU DP 직접 투입</t>
        </is>
      </c>
      <c r="E5" s="63" t="inlineStr">
        <is>
          <t>2CNY002ZZZZZ (API_EU)</t>
        </is>
      </c>
      <c r="F5" s="63" t="inlineStr">
        <is>
          <t>discontinued</t>
        </is>
      </c>
      <c r="G5" s="63" t="inlineStr">
        <is>
          <t>과거 EU는 DP 투입용 API_ROW 사용 → 현행 EU에 API 공급 전환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0" min="1" max="1"/>
    <col width="18" customWidth="1" style="40" min="2" max="2"/>
    <col width="9" customWidth="1" style="40" min="3" max="3"/>
    <col width="11" customWidth="1" style="40" min="4" max="5"/>
    <col width="12" customWidth="1" style="40" min="6" max="6"/>
    <col width="11" customWidth="1" style="40" min="7" max="7"/>
    <col width="34" customWidth="1" style="40" min="8" max="8"/>
  </cols>
  <sheetData>
    <row r="1" ht="22.35" customHeight="1" s="41">
      <c r="A1" s="64" t="inlineStr">
        <is>
          <t>cmo_id</t>
        </is>
      </c>
      <c r="B1" s="64" t="inlineStr">
        <is>
          <t>cmo_name</t>
        </is>
      </c>
      <c r="C1" s="64" t="inlineStr">
        <is>
          <t>country</t>
        </is>
      </c>
      <c r="D1" s="64" t="inlineStr">
        <is>
          <t>stage</t>
        </is>
      </c>
      <c r="E1" s="64" t="inlineStr">
        <is>
          <t>status</t>
        </is>
      </c>
      <c r="F1" s="64" t="inlineStr">
        <is>
          <t>lead_time_mo</t>
        </is>
      </c>
      <c r="G1" s="64" t="inlineStr">
        <is>
          <t>pv_scale_kg</t>
        </is>
      </c>
      <c r="H1" s="64" t="inlineStr">
        <is>
          <t>note</t>
        </is>
      </c>
    </row>
    <row r="2" ht="15" customHeight="1" s="41">
      <c r="A2" s="65" t="inlineStr">
        <is>
          <t>RSM-LIANHE</t>
        </is>
      </c>
      <c r="B2" s="66" t="inlineStr">
        <is>
          <t>Lianhe</t>
        </is>
      </c>
      <c r="C2" s="66" t="inlineStr">
        <is>
          <t>CN</t>
        </is>
      </c>
      <c r="D2" s="66" t="inlineStr">
        <is>
          <t>RSM</t>
        </is>
      </c>
      <c r="E2" s="66" t="inlineStr">
        <is>
          <t>active</t>
        </is>
      </c>
      <c r="F2" s="66" t="n"/>
      <c r="G2" s="66" t="n"/>
      <c r="H2" s="67" t="inlineStr">
        <is>
          <t>기존+신규 공정 / 200kg batch</t>
        </is>
      </c>
    </row>
    <row r="3" ht="15" customHeight="1" s="41">
      <c r="A3" s="65" t="inlineStr">
        <is>
          <t>RSM-WISDOM</t>
        </is>
      </c>
      <c r="B3" s="66" t="inlineStr">
        <is>
          <t>Wisdom</t>
        </is>
      </c>
      <c r="C3" s="66" t="inlineStr">
        <is>
          <t>CN</t>
        </is>
      </c>
      <c r="D3" s="66" t="inlineStr">
        <is>
          <t>RSM</t>
        </is>
      </c>
      <c r="E3" s="66" t="inlineStr">
        <is>
          <t>active</t>
        </is>
      </c>
      <c r="F3" s="66" t="n"/>
      <c r="G3" s="66" t="n"/>
      <c r="H3" s="67" t="inlineStr">
        <is>
          <t>기존+신규 공정 / 180kg batch</t>
        </is>
      </c>
    </row>
    <row r="4" ht="15" customHeight="1" s="41">
      <c r="A4" s="65" t="inlineStr">
        <is>
          <t>API-SKBT</t>
        </is>
      </c>
      <c r="B4" s="66" t="inlineStr">
        <is>
          <t>SK biotek (SKBT)</t>
        </is>
      </c>
      <c r="C4" s="66" t="inlineStr">
        <is>
          <t>KR</t>
        </is>
      </c>
      <c r="D4" s="66" t="inlineStr">
        <is>
          <t>API</t>
        </is>
      </c>
      <c r="E4" s="66" t="inlineStr">
        <is>
          <t>active</t>
        </is>
      </c>
      <c r="F4" s="66" t="n"/>
      <c r="G4" s="66" t="n"/>
      <c r="H4" s="67" t="inlineStr">
        <is>
          <t>전시장 API 단독 / 한국 FTZ</t>
        </is>
      </c>
    </row>
    <row r="5" ht="15" customHeight="1" s="41">
      <c r="A5" s="65" t="inlineStr">
        <is>
          <t>API-PORTON</t>
        </is>
      </c>
      <c r="B5" s="66" t="inlineStr">
        <is>
          <t>Porton</t>
        </is>
      </c>
      <c r="C5" s="66" t="inlineStr">
        <is>
          <t>CN</t>
        </is>
      </c>
      <c r="D5" s="66" t="inlineStr">
        <is>
          <t>API</t>
        </is>
      </c>
      <c r="E5" s="66" t="inlineStr">
        <is>
          <t>benchmark</t>
        </is>
      </c>
      <c r="F5" s="66" t="n"/>
      <c r="G5" s="68" t="n">
        <v>300</v>
      </c>
      <c r="H5" s="66" t="inlineStr">
        <is>
          <t>China-origin / milling PV 미확보</t>
        </is>
      </c>
    </row>
    <row r="6" ht="15" customHeight="1" s="41">
      <c r="A6" s="65" t="inlineStr">
        <is>
          <t>API-CAMBREX</t>
        </is>
      </c>
      <c r="B6" s="66" t="inlineStr">
        <is>
          <t>Cambrex</t>
        </is>
      </c>
      <c r="C6" s="66" t="inlineStr">
        <is>
          <t>US</t>
        </is>
      </c>
      <c r="D6" s="66" t="inlineStr">
        <is>
          <t>API</t>
        </is>
      </c>
      <c r="E6" s="66" t="inlineStr">
        <is>
          <t>candidate</t>
        </is>
      </c>
      <c r="F6" s="68" t="n">
        <v>16</v>
      </c>
      <c r="G6" s="68" t="n">
        <v>450</v>
      </c>
      <c r="H6" s="66" t="inlineStr">
        <is>
          <t>CAPEX $1,507,500</t>
        </is>
      </c>
    </row>
    <row r="7" ht="15" customHeight="1" s="41">
      <c r="A7" s="65" t="inlineStr">
        <is>
          <t>API-SKPT</t>
        </is>
      </c>
      <c r="B7" s="66" t="inlineStr">
        <is>
          <t>SKPT</t>
        </is>
      </c>
      <c r="C7" s="66" t="inlineStr">
        <is>
          <t>US</t>
        </is>
      </c>
      <c r="D7" s="66" t="inlineStr">
        <is>
          <t>API</t>
        </is>
      </c>
      <c r="E7" s="66" t="inlineStr">
        <is>
          <t>candidate</t>
        </is>
      </c>
      <c r="F7" s="68" t="n">
        <v>8</v>
      </c>
      <c r="G7" s="68" t="n">
        <v>500</v>
      </c>
      <c r="H7" s="66" t="n"/>
    </row>
    <row r="8" ht="15" customHeight="1" s="41">
      <c r="A8" s="65" t="inlineStr">
        <is>
          <t>API-PIRAMAL</t>
        </is>
      </c>
      <c r="B8" s="66" t="inlineStr">
        <is>
          <t>Piramal</t>
        </is>
      </c>
      <c r="C8" s="66" t="inlineStr">
        <is>
          <t>US</t>
        </is>
      </c>
      <c r="D8" s="66" t="inlineStr">
        <is>
          <t>API</t>
        </is>
      </c>
      <c r="E8" s="66" t="inlineStr">
        <is>
          <t>candidate</t>
        </is>
      </c>
      <c r="F8" s="68" t="n">
        <v>11</v>
      </c>
      <c r="G8" s="68" t="n">
        <v>240</v>
      </c>
      <c r="H8" s="66" t="inlineStr">
        <is>
          <t>India(Ennore) RSM 포함</t>
        </is>
      </c>
    </row>
    <row r="9" ht="15" customHeight="1" s="41">
      <c r="A9" s="65" t="inlineStr">
        <is>
          <t>API-CURIA</t>
        </is>
      </c>
      <c r="B9" s="66" t="inlineStr">
        <is>
          <t>Curia</t>
        </is>
      </c>
      <c r="C9" s="66" t="inlineStr">
        <is>
          <t>US</t>
        </is>
      </c>
      <c r="D9" s="66" t="inlineStr">
        <is>
          <t>API</t>
        </is>
      </c>
      <c r="E9" s="66" t="inlineStr">
        <is>
          <t>no-go</t>
        </is>
      </c>
      <c r="F9" s="68" t="n">
        <v>14</v>
      </c>
      <c r="G9" s="68" t="n">
        <v>500</v>
      </c>
      <c r="H9" s="66" t="inlineStr">
        <is>
          <t>2026 FDA 483</t>
        </is>
      </c>
    </row>
    <row r="10" ht="15" customHeight="1" s="41">
      <c r="A10" s="65" t="inlineStr">
        <is>
          <t>DP-PATHEON</t>
        </is>
      </c>
      <c r="B10" s="66" t="inlineStr">
        <is>
          <t>Patheon</t>
        </is>
      </c>
      <c r="C10" s="66" t="inlineStr">
        <is>
          <t>CA</t>
        </is>
      </c>
      <c r="D10" s="66" t="inlineStr">
        <is>
          <t>DP/SP/FP</t>
        </is>
      </c>
      <c r="E10" s="66" t="inlineStr">
        <is>
          <t>active</t>
        </is>
      </c>
      <c r="F10" s="66" t="n"/>
      <c r="G10" s="66" t="n"/>
      <c r="H10" s="66" t="inlineStr">
        <is>
          <t>Primary DP / 전시장 / Bottle 포장</t>
        </is>
      </c>
    </row>
    <row r="11" ht="15" customHeight="1" s="41">
      <c r="A11" s="65" t="inlineStr">
        <is>
          <t>DP-AVARA</t>
        </is>
      </c>
      <c r="B11" s="66" t="inlineStr">
        <is>
          <t>Avara</t>
        </is>
      </c>
      <c r="C11" s="66" t="inlineStr">
        <is>
          <t>US</t>
        </is>
      </c>
      <c r="D11" s="66" t="inlineStr">
        <is>
          <t>DP</t>
        </is>
      </c>
      <c r="E11" s="66" t="inlineStr">
        <is>
          <t>active</t>
        </is>
      </c>
      <c r="F11" s="66" t="n"/>
      <c r="G11" s="66" t="n"/>
      <c r="H11" s="66" t="inlineStr">
        <is>
          <t>US 전용 Tablet</t>
        </is>
      </c>
    </row>
    <row r="12" ht="15" customHeight="1" s="41">
      <c r="A12" s="65" t="inlineStr">
        <is>
          <t>SP-PCICA</t>
        </is>
      </c>
      <c r="B12" s="66" t="inlineStr">
        <is>
          <t>PCI CA</t>
        </is>
      </c>
      <c r="C12" s="66" t="inlineStr">
        <is>
          <t>CA</t>
        </is>
      </c>
      <c r="D12" s="66" t="inlineStr">
        <is>
          <t>SP/FP</t>
        </is>
      </c>
      <c r="E12" s="66" t="inlineStr">
        <is>
          <t>active</t>
        </is>
      </c>
      <c r="F12" s="66" t="n"/>
      <c r="G12" s="66" t="n"/>
      <c r="H12" s="66" t="inlineStr">
        <is>
          <t>Blister Strip+Card</t>
        </is>
      </c>
    </row>
    <row r="13" ht="15" customHeight="1" s="41">
      <c r="A13" s="65" t="inlineStr">
        <is>
          <t>FP-PCIUS</t>
        </is>
      </c>
      <c r="B13" s="66" t="inlineStr">
        <is>
          <t>PCI US</t>
        </is>
      </c>
      <c r="C13" s="66" t="inlineStr">
        <is>
          <t>US</t>
        </is>
      </c>
      <c r="D13" s="66" t="inlineStr">
        <is>
          <t>FP</t>
        </is>
      </c>
      <c r="E13" s="66" t="inlineStr">
        <is>
          <t>active</t>
        </is>
      </c>
      <c r="F13" s="66" t="n"/>
      <c r="G13" s="66" t="n"/>
      <c r="H13" s="66" t="inlineStr">
        <is>
          <t>Bottle 포장 / Avara Tablet 전용</t>
        </is>
      </c>
    </row>
  </sheetData>
  <autoFilter ref="A1:H13"/>
  <dataValidations count="3">
    <dataValidation sqref="C2:C200" showDropDown="0" showInputMessage="0" showErrorMessage="0" allowBlank="1" type="list" errorStyle="stop" operator="between">
      <formula1>"CN,KR,US,CA,EU,IN,JP,HK,IL,BR,MENA"</formula1>
      <formula2>0</formula2>
    </dataValidation>
    <dataValidation sqref="D2:D200" showDropDown="0" showInputMessage="0" showErrorMessage="0" allowBlank="1" type="list" errorStyle="stop" operator="between">
      <formula1>"RSM,API,DP,SP,FP,DP/SP/FP,SP/FP"</formula1>
      <formula2>0</formula2>
    </dataValidation>
    <dataValidation sqref="E2:E200" showDropDown="0" showInputMessage="0" showErrorMessage="0" allowBlank="1" type="list" errorStyle="stop" operator="between">
      <formula1>"active,candidate,no-go,benchmark"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40" min="1" max="1"/>
    <col width="10" customWidth="1" style="40" min="2" max="2"/>
    <col width="12" customWidth="1" style="40" min="3" max="4"/>
    <col width="11" customWidth="1" style="40" min="5" max="5"/>
    <col width="16" customWidth="1" style="40" min="6" max="6"/>
    <col width="13" customWidth="1" style="40" min="7" max="7"/>
    <col width="9" customWidth="1" style="40" min="8" max="8"/>
    <col width="11" customWidth="1" style="40" min="9" max="9"/>
    <col width="22" customWidth="1" style="40" min="10" max="10"/>
  </cols>
  <sheetData>
    <row r="1" ht="22.35" customHeight="1" s="41">
      <c r="A1" s="69" t="inlineStr">
        <is>
          <t>axis</t>
        </is>
      </c>
      <c r="B1" s="69" t="inlineStr">
        <is>
          <t>volume_mt</t>
        </is>
      </c>
      <c r="C1" s="69" t="inlineStr">
        <is>
          <t>wisdom_old</t>
        </is>
      </c>
      <c r="D1" s="69" t="inlineStr">
        <is>
          <t>wisdom_new</t>
        </is>
      </c>
      <c r="E1" s="69" t="inlineStr">
        <is>
          <t>lianhe_old</t>
        </is>
      </c>
      <c r="F1" s="69" t="inlineStr">
        <is>
          <t>lianhe_applied_eu</t>
        </is>
      </c>
      <c r="G1" s="69" t="inlineStr">
        <is>
          <t>model_applied</t>
        </is>
      </c>
      <c r="H1" s="69" t="inlineStr">
        <is>
          <t>unit</t>
        </is>
      </c>
      <c r="I1" s="69" t="inlineStr">
        <is>
          <t>effective</t>
        </is>
      </c>
      <c r="J1" s="69" t="inlineStr">
        <is>
          <t>source</t>
        </is>
      </c>
    </row>
    <row r="2" ht="15" customHeight="1" s="41">
      <c r="A2" s="65" t="inlineStr">
        <is>
          <t>US</t>
        </is>
      </c>
      <c r="B2" s="68" t="n">
        <v>1</v>
      </c>
      <c r="C2" s="70" t="n">
        <v>625</v>
      </c>
      <c r="D2" s="70" t="n">
        <v>600</v>
      </c>
      <c r="E2" s="70" t="n">
        <v>776</v>
      </c>
      <c r="F2" s="71" t="n"/>
      <c r="G2" s="72">
        <f>AVERAGE(D2,E2)</f>
        <v/>
      </c>
      <c r="H2" s="66" t="inlineStr">
        <is>
          <t>USD/kg</t>
        </is>
      </c>
      <c r="I2" s="66" t="inlineStr">
        <is>
          <t>2026-Q1</t>
        </is>
      </c>
      <c r="J2" s="66" t="inlineStr">
        <is>
          <t>Vendor quote</t>
        </is>
      </c>
    </row>
    <row r="3" ht="15" customHeight="1" s="41">
      <c r="A3" s="65" t="inlineStr">
        <is>
          <t>US</t>
        </is>
      </c>
      <c r="B3" s="68" t="n">
        <v>2.1</v>
      </c>
      <c r="C3" s="70" t="n">
        <v>610</v>
      </c>
      <c r="D3" s="70" t="n">
        <v>590</v>
      </c>
      <c r="E3" s="70" t="n">
        <v>761</v>
      </c>
      <c r="F3" s="71" t="n"/>
      <c r="G3" s="72">
        <f>AVERAGE(D3,E3)</f>
        <v/>
      </c>
      <c r="H3" s="66" t="inlineStr">
        <is>
          <t>USD/kg</t>
        </is>
      </c>
      <c r="I3" s="66" t="inlineStr">
        <is>
          <t>2026-Q1</t>
        </is>
      </c>
      <c r="J3" s="66" t="inlineStr">
        <is>
          <t>Vendor quote</t>
        </is>
      </c>
    </row>
    <row r="4" ht="15" customHeight="1" s="41">
      <c r="A4" s="65" t="inlineStr">
        <is>
          <t>US</t>
        </is>
      </c>
      <c r="B4" s="68" t="n">
        <v>5.3</v>
      </c>
      <c r="C4" s="70" t="n">
        <v>605</v>
      </c>
      <c r="D4" s="70" t="n">
        <v>520</v>
      </c>
      <c r="E4" s="70" t="n">
        <v>493</v>
      </c>
      <c r="F4" s="71" t="n"/>
      <c r="G4" s="72">
        <f>AVERAGE(D4,E4)</f>
        <v/>
      </c>
      <c r="H4" s="66" t="inlineStr">
        <is>
          <t>USD/kg</t>
        </is>
      </c>
      <c r="I4" s="66" t="inlineStr">
        <is>
          <t>2026-Q1</t>
        </is>
      </c>
      <c r="J4" s="66" t="inlineStr">
        <is>
          <t>Vendor quote</t>
        </is>
      </c>
    </row>
    <row r="5" ht="15" customHeight="1" s="41">
      <c r="A5" s="65" t="inlineStr">
        <is>
          <t>US</t>
        </is>
      </c>
      <c r="B5" s="68" t="n">
        <v>8.5</v>
      </c>
      <c r="C5" s="70" t="n">
        <v>598</v>
      </c>
      <c r="D5" s="70" t="n">
        <v>510</v>
      </c>
      <c r="E5" s="70" t="n">
        <v>466</v>
      </c>
      <c r="F5" s="71" t="n"/>
      <c r="G5" s="72">
        <f>AVERAGE(D5,E5)</f>
        <v/>
      </c>
      <c r="H5" s="66" t="inlineStr">
        <is>
          <t>USD/kg</t>
        </is>
      </c>
      <c r="I5" s="66" t="inlineStr">
        <is>
          <t>2026-Q1</t>
        </is>
      </c>
      <c r="J5" s="66" t="inlineStr">
        <is>
          <t>Vendor quote</t>
        </is>
      </c>
    </row>
    <row r="6" ht="15" customHeight="1" s="41">
      <c r="A6" s="65" t="inlineStr">
        <is>
          <t>US</t>
        </is>
      </c>
      <c r="B6" s="68" t="n">
        <v>10</v>
      </c>
      <c r="C6" s="70" t="n">
        <v>565</v>
      </c>
      <c r="D6" s="70" t="n">
        <v>505</v>
      </c>
      <c r="E6" s="70" t="n">
        <v>453</v>
      </c>
      <c r="F6" s="71" t="n"/>
      <c r="G6" s="72">
        <f>AVERAGE(D6,E6)</f>
        <v/>
      </c>
      <c r="H6" s="66" t="inlineStr">
        <is>
          <t>USD/kg</t>
        </is>
      </c>
      <c r="I6" s="66" t="inlineStr">
        <is>
          <t>2026-Q1</t>
        </is>
      </c>
      <c r="J6" s="66" t="inlineStr">
        <is>
          <t>Vendor quote / 10MT+ tier</t>
        </is>
      </c>
    </row>
    <row r="7" ht="15" customHeight="1" s="41">
      <c r="A7" s="65" t="inlineStr">
        <is>
          <t>EU</t>
        </is>
      </c>
      <c r="B7" s="68" t="n">
        <v>1</v>
      </c>
      <c r="C7" s="71" t="n"/>
      <c r="D7" s="71" t="n"/>
      <c r="E7" s="71" t="n"/>
      <c r="F7" s="70" t="n">
        <v>1067</v>
      </c>
      <c r="G7" s="72">
        <f>F7</f>
        <v/>
      </c>
      <c r="H7" s="66" t="inlineStr">
        <is>
          <t>USD/kg</t>
        </is>
      </c>
      <c r="I7" s="66" t="inlineStr">
        <is>
          <t>2026-Q1</t>
        </is>
      </c>
      <c r="J7" s="66" t="inlineStr">
        <is>
          <t>Lianhe Applied (EU 버블)</t>
        </is>
      </c>
    </row>
    <row r="8" ht="15" customHeight="1" s="41">
      <c r="A8" s="65" t="inlineStr">
        <is>
          <t>EU</t>
        </is>
      </c>
      <c r="B8" s="68" t="n">
        <v>2.1</v>
      </c>
      <c r="C8" s="71" t="n"/>
      <c r="D8" s="71" t="n"/>
      <c r="E8" s="71" t="n"/>
      <c r="F8" s="70" t="n">
        <v>1047</v>
      </c>
      <c r="G8" s="72">
        <f>F8</f>
        <v/>
      </c>
      <c r="H8" s="66" t="inlineStr">
        <is>
          <t>USD/kg</t>
        </is>
      </c>
      <c r="I8" s="66" t="inlineStr">
        <is>
          <t>2026-Q1</t>
        </is>
      </c>
      <c r="J8" s="66" t="inlineStr">
        <is>
          <t>Lianhe Applied</t>
        </is>
      </c>
    </row>
    <row r="9" ht="15" customHeight="1" s="41">
      <c r="A9" s="65" t="inlineStr">
        <is>
          <t>EU</t>
        </is>
      </c>
      <c r="B9" s="68" t="n">
        <v>5.3</v>
      </c>
      <c r="C9" s="71" t="n"/>
      <c r="D9" s="71" t="n"/>
      <c r="E9" s="71" t="n"/>
      <c r="F9" s="70" t="n">
        <v>863</v>
      </c>
      <c r="G9" s="72">
        <f>F9</f>
        <v/>
      </c>
      <c r="H9" s="66" t="inlineStr">
        <is>
          <t>USD/kg</t>
        </is>
      </c>
      <c r="I9" s="66" t="inlineStr">
        <is>
          <t>2026-Q1</t>
        </is>
      </c>
      <c r="J9" s="66" t="inlineStr">
        <is>
          <t>Lianhe Applied</t>
        </is>
      </c>
    </row>
    <row r="10" ht="15" customHeight="1" s="41">
      <c r="A10" s="65" t="inlineStr">
        <is>
          <t>EU</t>
        </is>
      </c>
      <c r="B10" s="68" t="n">
        <v>8.5</v>
      </c>
      <c r="C10" s="71" t="n"/>
      <c r="D10" s="71" t="n"/>
      <c r="E10" s="71" t="n"/>
      <c r="F10" s="70" t="n">
        <v>767</v>
      </c>
      <c r="G10" s="72">
        <f>F10</f>
        <v/>
      </c>
      <c r="H10" s="66" t="inlineStr">
        <is>
          <t>USD/kg</t>
        </is>
      </c>
      <c r="I10" s="66" t="inlineStr">
        <is>
          <t>2026-Q1</t>
        </is>
      </c>
      <c r="J10" s="66" t="inlineStr">
        <is>
          <t>Lianhe Applied</t>
        </is>
      </c>
    </row>
    <row r="11" ht="15" customHeight="1" s="41">
      <c r="A11" s="65" t="inlineStr">
        <is>
          <t>EU</t>
        </is>
      </c>
      <c r="B11" s="68" t="n">
        <v>10</v>
      </c>
      <c r="C11" s="71" t="n"/>
      <c r="D11" s="71" t="n"/>
      <c r="E11" s="71" t="n"/>
      <c r="F11" s="70" t="n">
        <v>717</v>
      </c>
      <c r="G11" s="72">
        <f>F11</f>
        <v/>
      </c>
      <c r="H11" s="66" t="inlineStr">
        <is>
          <t>USD/kg</t>
        </is>
      </c>
      <c r="I11" s="66" t="inlineStr">
        <is>
          <t>2026-Q1</t>
        </is>
      </c>
      <c r="J11" s="66" t="inlineStr">
        <is>
          <t>Lianhe Applied</t>
        </is>
      </c>
    </row>
    <row r="13" ht="15" customHeight="1" s="41">
      <c r="A13" s="73" t="inlineStr">
        <is>
          <t>※ model_applied = US: avg(wisdom_new, lianhe_old) / EU: lianhe_applied_eu (수식 자동계산). RSM→API 전환 0.861.</t>
        </is>
      </c>
    </row>
  </sheetData>
  <autoFilter ref="A1:J11"/>
  <dataValidations count="1">
    <dataValidation sqref="A2:A200" showDropDown="0" showInputMessage="0" showErrorMessage="0" allowBlank="1" type="list" errorStyle="stop" operator="between">
      <formula1>"US,EU"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0" min="1" max="1"/>
    <col width="18" customWidth="1" style="40" min="2" max="2"/>
    <col width="9" customWidth="1" style="40" min="3" max="3"/>
    <col width="13" customWidth="1" style="40" min="4" max="4"/>
    <col width="11" customWidth="1" style="40" min="5" max="5"/>
    <col width="12" customWidth="1" style="40" min="6" max="6"/>
    <col width="16" customWidth="1" style="40" min="7" max="7"/>
    <col width="22" customWidth="1" style="40" min="8" max="8"/>
    <col width="11" customWidth="1" style="40" min="9" max="9"/>
    <col width="10" customWidth="1" style="40" min="10" max="10"/>
    <col width="12" customWidth="1" style="40" min="11" max="11"/>
    <col width="28" customWidth="1" style="40" min="12" max="12"/>
  </cols>
  <sheetData>
    <row r="1" ht="15" customHeight="1" s="41">
      <c r="A1" s="69" t="inlineStr">
        <is>
          <t>cmo_id</t>
        </is>
      </c>
      <c r="B1" s="69" t="inlineStr">
        <is>
          <t>cmo_name</t>
        </is>
      </c>
      <c r="C1" s="69" t="inlineStr">
        <is>
          <t>country</t>
        </is>
      </c>
      <c r="D1" s="69" t="inlineStr">
        <is>
          <t>price_usd_kg</t>
        </is>
      </c>
      <c r="E1" s="69" t="inlineStr">
        <is>
          <t>basis</t>
        </is>
      </c>
      <c r="F1" s="69" t="inlineStr">
        <is>
          <t>rsm_source</t>
        </is>
      </c>
      <c r="G1" s="69" t="inlineStr">
        <is>
          <t>rsm_tariff_in</t>
        </is>
      </c>
      <c r="H1" s="69" t="inlineStr">
        <is>
          <t>api_tariff_out</t>
        </is>
      </c>
      <c r="I1" s="69" t="inlineStr">
        <is>
          <t>status</t>
        </is>
      </c>
      <c r="J1" s="69" t="inlineStr">
        <is>
          <t>effective</t>
        </is>
      </c>
      <c r="K1" s="69" t="inlineStr">
        <is>
          <t>source</t>
        </is>
      </c>
      <c r="L1" s="69" t="inlineStr">
        <is>
          <t>note</t>
        </is>
      </c>
    </row>
    <row r="2" ht="15" customHeight="1" s="41">
      <c r="A2" s="65" t="inlineStr">
        <is>
          <t>API-SKBT</t>
        </is>
      </c>
      <c r="B2" s="66" t="inlineStr">
        <is>
          <t>SK biotek (SKBT)</t>
        </is>
      </c>
      <c r="C2" s="66" t="inlineStr">
        <is>
          <t>KR</t>
        </is>
      </c>
      <c r="D2" s="74" t="n">
        <v>1177</v>
      </c>
      <c r="E2" s="66" t="inlineStr">
        <is>
          <t>25배치/12t</t>
        </is>
      </c>
      <c r="F2" s="66" t="inlineStr">
        <is>
          <t>China</t>
        </is>
      </c>
      <c r="G2" s="66" t="inlineStr">
        <is>
          <t>CN→KR 0% (FTZ)</t>
        </is>
      </c>
      <c r="H2" s="66" t="inlineStr">
        <is>
          <t>KR→US 15% / 기타 0%</t>
        </is>
      </c>
      <c r="I2" s="66" t="inlineStr">
        <is>
          <t>active</t>
        </is>
      </c>
      <c r="J2" s="66" t="inlineStr">
        <is>
          <t>2026-Q1</t>
        </is>
      </c>
      <c r="K2" s="66" t="inlineStr">
        <is>
          <t>Schedule C</t>
        </is>
      </c>
      <c r="L2" s="66" t="inlineStr">
        <is>
          <t>20배치=1,211 / 40배치=1,108</t>
        </is>
      </c>
    </row>
    <row r="3" ht="22.35" customHeight="1" s="41">
      <c r="A3" s="65" t="inlineStr">
        <is>
          <t>API-PORTON</t>
        </is>
      </c>
      <c r="B3" s="66" t="inlineStr">
        <is>
          <t>Porton</t>
        </is>
      </c>
      <c r="C3" s="66" t="inlineStr">
        <is>
          <t>CN</t>
        </is>
      </c>
      <c r="D3" s="74" t="n">
        <v>760.79</v>
      </c>
      <c r="E3" s="66" t="inlineStr">
        <is>
          <t>PV×85%</t>
        </is>
      </c>
      <c r="F3" s="66" t="inlineStr">
        <is>
          <t>China 자국</t>
        </is>
      </c>
      <c r="G3" s="66" t="inlineStr">
        <is>
          <t>N/A (자국)</t>
        </is>
      </c>
      <c r="H3" s="66" t="inlineStr">
        <is>
          <t>CN→US 100% / CN→EU 0~6.5%</t>
        </is>
      </c>
      <c r="I3" s="66" t="inlineStr">
        <is>
          <t>benchmark</t>
        </is>
      </c>
      <c r="J3" s="66" t="inlineStr">
        <is>
          <t>2022</t>
        </is>
      </c>
      <c r="K3" s="66" t="inlineStr">
        <is>
          <t>PV $895.05</t>
        </is>
      </c>
      <c r="L3" s="66" t="inlineStr">
        <is>
          <t>milling PV 미확보</t>
        </is>
      </c>
    </row>
    <row r="4" ht="15" customHeight="1" s="41">
      <c r="A4" s="65" t="inlineStr">
        <is>
          <t>API-CAMBREX</t>
        </is>
      </c>
      <c r="B4" s="66" t="inlineStr">
        <is>
          <t>Cambrex</t>
        </is>
      </c>
      <c r="C4" s="66" t="inlineStr">
        <is>
          <t>US</t>
        </is>
      </c>
      <c r="D4" s="74" t="n">
        <v>2076</v>
      </c>
      <c r="E4" s="66" t="inlineStr">
        <is>
          <t>8MT</t>
        </is>
      </c>
      <c r="F4" s="66" t="inlineStr">
        <is>
          <t>China 수입</t>
        </is>
      </c>
      <c r="G4" s="66" t="inlineStr">
        <is>
          <t>CN→US 100%</t>
        </is>
      </c>
      <c r="H4" s="66" t="inlineStr">
        <is>
          <t>US내 0%</t>
        </is>
      </c>
      <c r="I4" s="66" t="inlineStr">
        <is>
          <t>candidate</t>
        </is>
      </c>
      <c r="J4" s="66" t="inlineStr">
        <is>
          <t>2026-Q1</t>
        </is>
      </c>
      <c r="K4" s="66" t="inlineStr">
        <is>
          <t>RFP</t>
        </is>
      </c>
      <c r="L4" s="66" t="inlineStr">
        <is>
          <t>CAPEX $1,507,500</t>
        </is>
      </c>
    </row>
    <row r="5" ht="15" customHeight="1" s="41">
      <c r="A5" s="65" t="inlineStr">
        <is>
          <t>API-SKPT</t>
        </is>
      </c>
      <c r="B5" s="66" t="inlineStr">
        <is>
          <t>SKPT</t>
        </is>
      </c>
      <c r="C5" s="66" t="inlineStr">
        <is>
          <t>US</t>
        </is>
      </c>
      <c r="D5" s="74" t="n">
        <v>2099</v>
      </c>
      <c r="E5" s="66" t="inlineStr">
        <is>
          <t>8MT</t>
        </is>
      </c>
      <c r="F5" s="66" t="inlineStr">
        <is>
          <t>China 수입</t>
        </is>
      </c>
      <c r="G5" s="66" t="inlineStr">
        <is>
          <t>CN→US 100%</t>
        </is>
      </c>
      <c r="H5" s="66" t="inlineStr">
        <is>
          <t>US내 0%</t>
        </is>
      </c>
      <c r="I5" s="66" t="inlineStr">
        <is>
          <t>candidate</t>
        </is>
      </c>
      <c r="J5" s="66" t="inlineStr">
        <is>
          <t>2026-Q1</t>
        </is>
      </c>
      <c r="K5" s="66" t="inlineStr">
        <is>
          <t>RFP</t>
        </is>
      </c>
      <c r="L5" s="66" t="n"/>
    </row>
    <row r="6" ht="22.35" customHeight="1" s="41">
      <c r="A6" s="65" t="inlineStr">
        <is>
          <t>API-PIRAMAL</t>
        </is>
      </c>
      <c r="B6" s="66" t="inlineStr">
        <is>
          <t>Piramal</t>
        </is>
      </c>
      <c r="C6" s="66" t="inlineStr">
        <is>
          <t>US</t>
        </is>
      </c>
      <c r="D6" s="74" t="n">
        <v>4460</v>
      </c>
      <c r="E6" s="66" t="inlineStr">
        <is>
          <t>8MT</t>
        </is>
      </c>
      <c r="F6" s="66" t="inlineStr">
        <is>
          <t>India 포함</t>
        </is>
      </c>
      <c r="G6" s="66" t="inlineStr">
        <is>
          <t>IN→US 0~low</t>
        </is>
      </c>
      <c r="H6" s="66" t="inlineStr">
        <is>
          <t>US내 0%</t>
        </is>
      </c>
      <c r="I6" s="66" t="inlineStr">
        <is>
          <t>candidate</t>
        </is>
      </c>
      <c r="J6" s="66" t="inlineStr">
        <is>
          <t>2026-Q1</t>
        </is>
      </c>
      <c r="K6" s="66" t="inlineStr">
        <is>
          <t>RFP v02</t>
        </is>
      </c>
      <c r="L6" s="66" t="inlineStr">
        <is>
          <t>1-5MT 4,980 / 5-8MT 4,460 / 8-10MT 4,400</t>
        </is>
      </c>
    </row>
    <row r="7" ht="15" customHeight="1" s="41">
      <c r="A7" s="65" t="inlineStr">
        <is>
          <t>API-CURIA</t>
        </is>
      </c>
      <c r="B7" s="66" t="inlineStr">
        <is>
          <t>Curia</t>
        </is>
      </c>
      <c r="C7" s="66" t="inlineStr">
        <is>
          <t>US</t>
        </is>
      </c>
      <c r="D7" s="74" t="n">
        <v>1095</v>
      </c>
      <c r="E7" s="66" t="inlineStr">
        <is>
          <t>8MT</t>
        </is>
      </c>
      <c r="F7" s="66" t="inlineStr">
        <is>
          <t>China 수입</t>
        </is>
      </c>
      <c r="G7" s="66" t="inlineStr">
        <is>
          <t>CN→US 100%</t>
        </is>
      </c>
      <c r="H7" s="66" t="inlineStr">
        <is>
          <t>US내 0%</t>
        </is>
      </c>
      <c r="I7" s="66" t="inlineStr">
        <is>
          <t>no-go</t>
        </is>
      </c>
      <c r="J7" s="66" t="inlineStr">
        <is>
          <t>2026-Q1</t>
        </is>
      </c>
      <c r="K7" s="66" t="inlineStr">
        <is>
          <t>RFP</t>
        </is>
      </c>
      <c r="L7" s="66" t="inlineStr">
        <is>
          <t>FDA 483</t>
        </is>
      </c>
    </row>
  </sheetData>
  <autoFilter ref="A1:L7"/>
  <dataValidations count="1">
    <dataValidation sqref="A2:A7" showDropDown="0" showInputMessage="0" showErrorMessage="0" allowBlank="1" type="list" errorStyle="stop" operator="between">
      <formula1>DIM_CMO!$A$2:$A$200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0" min="1" max="1"/>
    <col width="12" customWidth="1" style="40" min="2" max="2"/>
    <col width="9" customWidth="1" style="40" min="3" max="3"/>
    <col width="12" customWidth="1" style="40" min="4" max="4"/>
    <col width="18" customWidth="1" style="40" min="5" max="5"/>
    <col width="12" customWidth="1" style="40" min="6" max="6"/>
    <col width="14" customWidth="1" style="40" min="7" max="7"/>
    <col width="16" customWidth="1" style="40" min="8" max="8"/>
  </cols>
  <sheetData>
    <row r="1" ht="15" customHeight="1" s="41">
      <c r="A1" s="69" t="inlineStr">
        <is>
          <t>cmo_id</t>
        </is>
      </c>
      <c r="B1" s="69" t="inlineStr">
        <is>
          <t>cmo_name</t>
        </is>
      </c>
      <c r="C1" s="69" t="inlineStr">
        <is>
          <t>country</t>
        </is>
      </c>
      <c r="D1" s="69" t="inlineStr">
        <is>
          <t>strength_mg</t>
        </is>
      </c>
      <c r="E1" s="69" t="inlineStr">
        <is>
          <t>price_per_1000tab</t>
        </is>
      </c>
      <c r="F1" s="69" t="inlineStr">
        <is>
          <t>tier</t>
        </is>
      </c>
      <c r="G1" s="69" t="inlineStr">
        <is>
          <t>unit</t>
        </is>
      </c>
      <c r="H1" s="69" t="inlineStr">
        <is>
          <t>note</t>
        </is>
      </c>
    </row>
    <row r="2" ht="15" customHeight="1" s="41">
      <c r="A2" s="65" t="inlineStr">
        <is>
          <t>DP-AVARA</t>
        </is>
      </c>
      <c r="B2" s="66" t="inlineStr">
        <is>
          <t>Avara</t>
        </is>
      </c>
      <c r="C2" s="66" t="inlineStr">
        <is>
          <t>US</t>
        </is>
      </c>
      <c r="D2" s="68" t="n">
        <v>12.5</v>
      </c>
      <c r="E2" s="74" t="n">
        <v>81.98999999999999</v>
      </c>
      <c r="F2" s="66" t="inlineStr">
        <is>
          <t>T2(10-20M)</t>
        </is>
      </c>
      <c r="G2" s="66" t="inlineStr">
        <is>
          <t>USD/1000TAB</t>
        </is>
      </c>
      <c r="H2" s="66" t="inlineStr">
        <is>
          <t>US 전용</t>
        </is>
      </c>
    </row>
    <row r="3" ht="15" customHeight="1" s="41">
      <c r="A3" s="65" t="inlineStr">
        <is>
          <t>DP-AVARA</t>
        </is>
      </c>
      <c r="B3" s="66" t="inlineStr">
        <is>
          <t>Avara</t>
        </is>
      </c>
      <c r="C3" s="66" t="inlineStr">
        <is>
          <t>US</t>
        </is>
      </c>
      <c r="D3" s="68" t="n">
        <v>25</v>
      </c>
      <c r="E3" s="74" t="n">
        <v>144.64</v>
      </c>
      <c r="F3" s="66" t="inlineStr">
        <is>
          <t>T2(10-20M)</t>
        </is>
      </c>
      <c r="G3" s="66" t="inlineStr">
        <is>
          <t>USD/1000TAB</t>
        </is>
      </c>
      <c r="H3" s="66" t="inlineStr">
        <is>
          <t>US 전용</t>
        </is>
      </c>
    </row>
    <row r="4" ht="15" customHeight="1" s="41">
      <c r="A4" s="65" t="inlineStr">
        <is>
          <t>DP-AVARA</t>
        </is>
      </c>
      <c r="B4" s="66" t="inlineStr">
        <is>
          <t>Avara</t>
        </is>
      </c>
      <c r="C4" s="66" t="inlineStr">
        <is>
          <t>US</t>
        </is>
      </c>
      <c r="D4" s="68" t="n">
        <v>50</v>
      </c>
      <c r="E4" s="74" t="n">
        <v>80.84999999999999</v>
      </c>
      <c r="F4" s="66" t="inlineStr">
        <is>
          <t>T2(10-20M)</t>
        </is>
      </c>
      <c r="G4" s="66" t="inlineStr">
        <is>
          <t>USD/1000TAB</t>
        </is>
      </c>
      <c r="H4" s="66" t="inlineStr">
        <is>
          <t>US 전용</t>
        </is>
      </c>
    </row>
    <row r="5" ht="15" customHeight="1" s="41">
      <c r="A5" s="65" t="inlineStr">
        <is>
          <t>DP-AVARA</t>
        </is>
      </c>
      <c r="B5" s="66" t="inlineStr">
        <is>
          <t>Avara</t>
        </is>
      </c>
      <c r="C5" s="66" t="inlineStr">
        <is>
          <t>US</t>
        </is>
      </c>
      <c r="D5" s="68" t="n">
        <v>100</v>
      </c>
      <c r="E5" s="74" t="n">
        <v>80.48999999999999</v>
      </c>
      <c r="F5" s="66" t="inlineStr">
        <is>
          <t>T2(10-20M)</t>
        </is>
      </c>
      <c r="G5" s="66" t="inlineStr">
        <is>
          <t>USD/1000TAB</t>
        </is>
      </c>
      <c r="H5" s="66" t="inlineStr">
        <is>
          <t>US 전용</t>
        </is>
      </c>
    </row>
    <row r="6" ht="15" customHeight="1" s="41">
      <c r="A6" s="65" t="inlineStr">
        <is>
          <t>DP-AVARA</t>
        </is>
      </c>
      <c r="B6" s="66" t="inlineStr">
        <is>
          <t>Avara</t>
        </is>
      </c>
      <c r="C6" s="66" t="inlineStr">
        <is>
          <t>US</t>
        </is>
      </c>
      <c r="D6" s="68" t="n">
        <v>150</v>
      </c>
      <c r="E6" s="74" t="n">
        <v>116.48</v>
      </c>
      <c r="F6" s="66" t="inlineStr">
        <is>
          <t>T2(10-20M)</t>
        </is>
      </c>
      <c r="G6" s="66" t="inlineStr">
        <is>
          <t>USD/1000TAB</t>
        </is>
      </c>
      <c r="H6" s="66" t="inlineStr">
        <is>
          <t>US 전용</t>
        </is>
      </c>
    </row>
    <row r="7" ht="15" customHeight="1" s="41">
      <c r="A7" s="65" t="inlineStr">
        <is>
          <t>DP-AVARA</t>
        </is>
      </c>
      <c r="B7" s="66" t="inlineStr">
        <is>
          <t>Avara</t>
        </is>
      </c>
      <c r="C7" s="66" t="inlineStr">
        <is>
          <t>US</t>
        </is>
      </c>
      <c r="D7" s="68" t="n">
        <v>200</v>
      </c>
      <c r="E7" s="74" t="n">
        <v>141.57</v>
      </c>
      <c r="F7" s="66" t="inlineStr">
        <is>
          <t>T2(10-20M)</t>
        </is>
      </c>
      <c r="G7" s="66" t="inlineStr">
        <is>
          <t>USD/1000TAB</t>
        </is>
      </c>
      <c r="H7" s="66" t="inlineStr">
        <is>
          <t>US 전용</t>
        </is>
      </c>
    </row>
    <row r="8" ht="15" customHeight="1" s="41">
      <c r="A8" s="65" t="inlineStr">
        <is>
          <t>DP-PATHEON</t>
        </is>
      </c>
      <c r="B8" s="66" t="inlineStr">
        <is>
          <t>Patheon</t>
        </is>
      </c>
      <c r="C8" s="66" t="inlineStr">
        <is>
          <t>CA</t>
        </is>
      </c>
      <c r="D8" s="68" t="n">
        <v>12.5</v>
      </c>
      <c r="E8" s="74" t="n">
        <v>91.97</v>
      </c>
      <c r="F8" s="66" t="inlineStr">
        <is>
          <t>Camp1</t>
        </is>
      </c>
      <c r="G8" s="66" t="inlineStr">
        <is>
          <t>USD/1000TAB</t>
        </is>
      </c>
      <c r="H8" s="67" t="inlineStr">
        <is>
          <t>전시장 Primary</t>
        </is>
      </c>
    </row>
    <row r="9" ht="15" customHeight="1" s="41">
      <c r="A9" s="65" t="inlineStr">
        <is>
          <t>DP-PATHEON</t>
        </is>
      </c>
      <c r="B9" s="66" t="inlineStr">
        <is>
          <t>Patheon</t>
        </is>
      </c>
      <c r="C9" s="66" t="inlineStr">
        <is>
          <t>CA</t>
        </is>
      </c>
      <c r="D9" s="68" t="n">
        <v>25</v>
      </c>
      <c r="E9" s="74" t="n">
        <v>100.35</v>
      </c>
      <c r="F9" s="66" t="inlineStr">
        <is>
          <t>Camp1</t>
        </is>
      </c>
      <c r="G9" s="66" t="inlineStr">
        <is>
          <t>USD/1000TAB</t>
        </is>
      </c>
      <c r="H9" s="67" t="inlineStr">
        <is>
          <t>전시장 Primary</t>
        </is>
      </c>
    </row>
    <row r="10" ht="15" customHeight="1" s="41">
      <c r="A10" s="65" t="inlineStr">
        <is>
          <t>DP-PATHEON</t>
        </is>
      </c>
      <c r="B10" s="66" t="inlineStr">
        <is>
          <t>Patheon</t>
        </is>
      </c>
      <c r="C10" s="66" t="inlineStr">
        <is>
          <t>CA</t>
        </is>
      </c>
      <c r="D10" s="68" t="n">
        <v>50</v>
      </c>
      <c r="E10" s="74" t="n">
        <v>103.84</v>
      </c>
      <c r="F10" s="66" t="inlineStr">
        <is>
          <t>Camp1</t>
        </is>
      </c>
      <c r="G10" s="66" t="inlineStr">
        <is>
          <t>USD/1000TAB</t>
        </is>
      </c>
      <c r="H10" s="67" t="inlineStr">
        <is>
          <t>전시장 Primary</t>
        </is>
      </c>
    </row>
    <row r="11" ht="15" customHeight="1" s="41">
      <c r="A11" s="65" t="inlineStr">
        <is>
          <t>DP-PATHEON</t>
        </is>
      </c>
      <c r="B11" s="66" t="inlineStr">
        <is>
          <t>Patheon</t>
        </is>
      </c>
      <c r="C11" s="66" t="inlineStr">
        <is>
          <t>CA</t>
        </is>
      </c>
      <c r="D11" s="68" t="n">
        <v>100</v>
      </c>
      <c r="E11" s="74" t="n">
        <v>89.09</v>
      </c>
      <c r="F11" s="66" t="inlineStr">
        <is>
          <t>Camp1</t>
        </is>
      </c>
      <c r="G11" s="66" t="inlineStr">
        <is>
          <t>USD/1000TAB</t>
        </is>
      </c>
      <c r="H11" s="67" t="inlineStr">
        <is>
          <t>전시장 Primary</t>
        </is>
      </c>
    </row>
    <row r="12" ht="15" customHeight="1" s="41">
      <c r="A12" s="65" t="inlineStr">
        <is>
          <t>DP-PATHEON</t>
        </is>
      </c>
      <c r="B12" s="66" t="inlineStr">
        <is>
          <t>Patheon</t>
        </is>
      </c>
      <c r="C12" s="66" t="inlineStr">
        <is>
          <t>CA</t>
        </is>
      </c>
      <c r="D12" s="68" t="n">
        <v>150</v>
      </c>
      <c r="E12" s="74" t="n">
        <v>132.45</v>
      </c>
      <c r="F12" s="66" t="inlineStr">
        <is>
          <t>Camp1</t>
        </is>
      </c>
      <c r="G12" s="66" t="inlineStr">
        <is>
          <t>USD/1000TAB</t>
        </is>
      </c>
      <c r="H12" s="67" t="inlineStr">
        <is>
          <t>전시장 Primary</t>
        </is>
      </c>
    </row>
    <row r="13" ht="15" customHeight="1" s="41">
      <c r="A13" s="65" t="inlineStr">
        <is>
          <t>DP-PATHEON</t>
        </is>
      </c>
      <c r="B13" s="66" t="inlineStr">
        <is>
          <t>Patheon</t>
        </is>
      </c>
      <c r="C13" s="66" t="inlineStr">
        <is>
          <t>CA</t>
        </is>
      </c>
      <c r="D13" s="68" t="n">
        <v>200</v>
      </c>
      <c r="E13" s="74" t="n">
        <v>175.66</v>
      </c>
      <c r="F13" s="66" t="inlineStr">
        <is>
          <t>Camp1</t>
        </is>
      </c>
      <c r="G13" s="66" t="inlineStr">
        <is>
          <t>USD/1000TAB</t>
        </is>
      </c>
      <c r="H13" s="67" t="inlineStr">
        <is>
          <t>전시장 Primary</t>
        </is>
      </c>
    </row>
  </sheetData>
  <autoFilter ref="A1:H13"/>
  <dataValidations count="1">
    <dataValidation sqref="A2:A13" showDropDown="0" showInputMessage="0" showErrorMessage="0" allowBlank="1" type="list" errorStyle="stop" operator="between">
      <formula1>DIM_CMO!$A$2:$A$200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0" min="1" max="1"/>
    <col width="12" customWidth="1" style="40" min="2" max="2"/>
    <col width="9" customWidth="1" style="40" min="3" max="3"/>
    <col width="20" customWidth="1" style="40" min="4" max="4"/>
    <col width="18" customWidth="1" style="40" min="5" max="5"/>
    <col width="14" customWidth="1" style="40" min="6" max="6"/>
    <col width="10" customWidth="1" style="40" min="7" max="7"/>
    <col width="14" customWidth="1" style="40" min="8" max="8"/>
  </cols>
  <sheetData>
    <row r="1" ht="15" customHeight="1" s="41">
      <c r="A1" s="69" t="inlineStr">
        <is>
          <t>cmo_id</t>
        </is>
      </c>
      <c r="B1" s="69" t="inlineStr">
        <is>
          <t>cmo_name</t>
        </is>
      </c>
      <c r="C1" s="69" t="inlineStr">
        <is>
          <t>country</t>
        </is>
      </c>
      <c r="D1" s="69" t="inlineStr">
        <is>
          <t>pack_type</t>
        </is>
      </c>
      <c r="E1" s="69" t="inlineStr">
        <is>
          <t>strength_or_count</t>
        </is>
      </c>
      <c r="F1" s="69" t="inlineStr">
        <is>
          <t>price_per_unit</t>
        </is>
      </c>
      <c r="G1" s="69" t="inlineStr">
        <is>
          <t>unit</t>
        </is>
      </c>
      <c r="H1" s="69" t="inlineStr">
        <is>
          <t>note</t>
        </is>
      </c>
    </row>
    <row r="2" ht="15" customHeight="1" s="41">
      <c r="A2" s="65" t="inlineStr">
        <is>
          <t>DP-PATHEON</t>
        </is>
      </c>
      <c r="B2" s="66" t="inlineStr">
        <is>
          <t>Patheon</t>
        </is>
      </c>
      <c r="C2" s="66" t="inlineStr">
        <is>
          <t>CA</t>
        </is>
      </c>
      <c r="D2" s="66" t="inlineStr">
        <is>
          <t>Bottle (Britestock)</t>
        </is>
      </c>
      <c r="E2" s="66" t="inlineStr">
        <is>
          <t>25mg</t>
        </is>
      </c>
      <c r="F2" s="74" t="n">
        <v>1.88</v>
      </c>
      <c r="G2" s="66" t="inlineStr">
        <is>
          <t>USD/BTL</t>
        </is>
      </c>
      <c r="H2" s="66" t="inlineStr">
        <is>
          <t>FS Pack</t>
        </is>
      </c>
    </row>
    <row r="3" ht="15" customHeight="1" s="41">
      <c r="A3" s="65" t="inlineStr">
        <is>
          <t>DP-PATHEON</t>
        </is>
      </c>
      <c r="B3" s="66" t="inlineStr">
        <is>
          <t>Patheon</t>
        </is>
      </c>
      <c r="C3" s="66" t="inlineStr">
        <is>
          <t>CA</t>
        </is>
      </c>
      <c r="D3" s="66" t="inlineStr">
        <is>
          <t>Bottle (Britestock)</t>
        </is>
      </c>
      <c r="E3" s="66" t="inlineStr">
        <is>
          <t>50mg</t>
        </is>
      </c>
      <c r="F3" s="74" t="n">
        <v>1.78</v>
      </c>
      <c r="G3" s="66" t="inlineStr">
        <is>
          <t>USD/BTL</t>
        </is>
      </c>
      <c r="H3" s="66" t="inlineStr">
        <is>
          <t>FS Pack</t>
        </is>
      </c>
    </row>
    <row r="4" ht="15" customHeight="1" s="41">
      <c r="A4" s="65" t="inlineStr">
        <is>
          <t>DP-PATHEON</t>
        </is>
      </c>
      <c r="B4" s="66" t="inlineStr">
        <is>
          <t>Patheon</t>
        </is>
      </c>
      <c r="C4" s="66" t="inlineStr">
        <is>
          <t>CA</t>
        </is>
      </c>
      <c r="D4" s="66" t="inlineStr">
        <is>
          <t>Bottle (Britestock)</t>
        </is>
      </c>
      <c r="E4" s="66" t="inlineStr">
        <is>
          <t>100mg</t>
        </is>
      </c>
      <c r="F4" s="74" t="n">
        <v>1.66</v>
      </c>
      <c r="G4" s="66" t="inlineStr">
        <is>
          <t>USD/BTL</t>
        </is>
      </c>
      <c r="H4" s="66" t="inlineStr">
        <is>
          <t>FS Pack</t>
        </is>
      </c>
    </row>
    <row r="5" ht="15" customHeight="1" s="41">
      <c r="A5" s="65" t="inlineStr">
        <is>
          <t>DP-PATHEON</t>
        </is>
      </c>
      <c r="B5" s="66" t="inlineStr">
        <is>
          <t>Patheon</t>
        </is>
      </c>
      <c r="C5" s="66" t="inlineStr">
        <is>
          <t>CA</t>
        </is>
      </c>
      <c r="D5" s="66" t="inlineStr">
        <is>
          <t>Bottle (Britestock)</t>
        </is>
      </c>
      <c r="E5" s="66" t="inlineStr">
        <is>
          <t>150mg</t>
        </is>
      </c>
      <c r="F5" s="74" t="n">
        <v>1.76</v>
      </c>
      <c r="G5" s="66" t="inlineStr">
        <is>
          <t>USD/BTL</t>
        </is>
      </c>
      <c r="H5" s="66" t="inlineStr">
        <is>
          <t>FS Pack</t>
        </is>
      </c>
    </row>
    <row r="6" ht="15" customHeight="1" s="41">
      <c r="A6" s="65" t="inlineStr">
        <is>
          <t>DP-PATHEON</t>
        </is>
      </c>
      <c r="B6" s="66" t="inlineStr">
        <is>
          <t>Patheon</t>
        </is>
      </c>
      <c r="C6" s="66" t="inlineStr">
        <is>
          <t>CA</t>
        </is>
      </c>
      <c r="D6" s="66" t="inlineStr">
        <is>
          <t>Bottle (Britestock)</t>
        </is>
      </c>
      <c r="E6" s="66" t="inlineStr">
        <is>
          <t>200mg</t>
        </is>
      </c>
      <c r="F6" s="74" t="n">
        <v>1.88</v>
      </c>
      <c r="G6" s="66" t="inlineStr">
        <is>
          <t>USD/BTL</t>
        </is>
      </c>
      <c r="H6" s="66" t="inlineStr">
        <is>
          <t>FS Pack</t>
        </is>
      </c>
    </row>
    <row r="7" ht="15" customHeight="1" s="41">
      <c r="A7" s="65" t="inlineStr">
        <is>
          <t>SP-PCICA</t>
        </is>
      </c>
      <c r="B7" s="66" t="inlineStr">
        <is>
          <t>PCI CA</t>
        </is>
      </c>
      <c r="C7" s="66" t="inlineStr">
        <is>
          <t>CA</t>
        </is>
      </c>
      <c r="D7" s="66" t="inlineStr">
        <is>
          <t>Blister Strip</t>
        </is>
      </c>
      <c r="E7" s="66" t="inlineStr">
        <is>
          <t>12.5/25mg (14ct)</t>
        </is>
      </c>
      <c r="F7" s="74" t="n">
        <v>0.49</v>
      </c>
      <c r="G7" s="66" t="inlineStr">
        <is>
          <t>USD/BLS</t>
        </is>
      </c>
      <c r="H7" s="66" t="n"/>
    </row>
    <row r="8" ht="15" customHeight="1" s="41">
      <c r="A8" s="65" t="inlineStr">
        <is>
          <t>SP-PCICA</t>
        </is>
      </c>
      <c r="B8" s="66" t="inlineStr">
        <is>
          <t>PCI CA</t>
        </is>
      </c>
      <c r="C8" s="66" t="inlineStr">
        <is>
          <t>CA</t>
        </is>
      </c>
      <c r="D8" s="66" t="inlineStr">
        <is>
          <t>Blister Strip</t>
        </is>
      </c>
      <c r="E8" s="66" t="inlineStr">
        <is>
          <t>50-200mg (7ct)</t>
        </is>
      </c>
      <c r="F8" s="74" t="n">
        <v>0.5600000000000001</v>
      </c>
      <c r="G8" s="66" t="inlineStr">
        <is>
          <t>USD/BLS</t>
        </is>
      </c>
      <c r="H8" s="66" t="n"/>
    </row>
    <row r="9" ht="15" customHeight="1" s="41">
      <c r="A9" s="65" t="inlineStr">
        <is>
          <t>FP-PCIUS</t>
        </is>
      </c>
      <c r="B9" s="66" t="inlineStr">
        <is>
          <t>PCI US</t>
        </is>
      </c>
      <c r="C9" s="66" t="inlineStr">
        <is>
          <t>US</t>
        </is>
      </c>
      <c r="D9" s="66" t="inlineStr">
        <is>
          <t>Bottle Packaging</t>
        </is>
      </c>
      <c r="E9" s="66" t="inlineStr">
        <is>
          <t>50mg</t>
        </is>
      </c>
      <c r="F9" s="74" t="n">
        <v>4.27</v>
      </c>
      <c r="G9" s="66" t="inlineStr">
        <is>
          <t>USD/BTL</t>
        </is>
      </c>
      <c r="H9" s="66" t="inlineStr">
        <is>
          <t>50-200mg만</t>
        </is>
      </c>
    </row>
    <row r="10" ht="15" customHeight="1" s="41">
      <c r="A10" s="65" t="inlineStr">
        <is>
          <t>FP-PCIUS</t>
        </is>
      </c>
      <c r="B10" s="66" t="inlineStr">
        <is>
          <t>PCI US</t>
        </is>
      </c>
      <c r="C10" s="66" t="inlineStr">
        <is>
          <t>US</t>
        </is>
      </c>
      <c r="D10" s="66" t="inlineStr">
        <is>
          <t>Bottle Packaging</t>
        </is>
      </c>
      <c r="E10" s="66" t="inlineStr">
        <is>
          <t>100mg</t>
        </is>
      </c>
      <c r="F10" s="74" t="n">
        <v>4.27</v>
      </c>
      <c r="G10" s="66" t="inlineStr">
        <is>
          <t>USD/BTL</t>
        </is>
      </c>
      <c r="H10" s="66" t="inlineStr">
        <is>
          <t>50-200mg만</t>
        </is>
      </c>
    </row>
    <row r="11" ht="15" customHeight="1" s="41">
      <c r="A11" s="65" t="inlineStr">
        <is>
          <t>FP-PCIUS</t>
        </is>
      </c>
      <c r="B11" s="66" t="inlineStr">
        <is>
          <t>PCI US</t>
        </is>
      </c>
      <c r="C11" s="66" t="inlineStr">
        <is>
          <t>US</t>
        </is>
      </c>
      <c r="D11" s="66" t="inlineStr">
        <is>
          <t>Bottle Packaging</t>
        </is>
      </c>
      <c r="E11" s="66" t="inlineStr">
        <is>
          <t>150mg</t>
        </is>
      </c>
      <c r="F11" s="74" t="n">
        <v>4.55</v>
      </c>
      <c r="G11" s="66" t="inlineStr">
        <is>
          <t>USD/BTL</t>
        </is>
      </c>
      <c r="H11" s="66" t="inlineStr">
        <is>
          <t>50-200mg만</t>
        </is>
      </c>
    </row>
    <row r="12" ht="15" customHeight="1" s="41">
      <c r="A12" s="65" t="inlineStr">
        <is>
          <t>FP-PCIUS</t>
        </is>
      </c>
      <c r="B12" s="66" t="inlineStr">
        <is>
          <t>PCI US</t>
        </is>
      </c>
      <c r="C12" s="66" t="inlineStr">
        <is>
          <t>US</t>
        </is>
      </c>
      <c r="D12" s="66" t="inlineStr">
        <is>
          <t>Bottle Packaging</t>
        </is>
      </c>
      <c r="E12" s="66" t="inlineStr">
        <is>
          <t>200mg</t>
        </is>
      </c>
      <c r="F12" s="74" t="n">
        <v>3.95</v>
      </c>
      <c r="G12" s="66" t="inlineStr">
        <is>
          <t>USD/BTL</t>
        </is>
      </c>
      <c r="H12" s="66" t="inlineStr">
        <is>
          <t>50-200mg만</t>
        </is>
      </c>
    </row>
  </sheetData>
  <autoFilter ref="A1:H12"/>
  <dataValidations count="1">
    <dataValidation sqref="A2:A12" showDropDown="0" showInputMessage="0" showErrorMessage="0" allowBlank="1" type="list" errorStyle="stop" operator="between">
      <formula1>DIM_CMO!$A$2:$A$200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0" min="1" max="1"/>
    <col width="12" customWidth="1" style="40" min="2" max="2"/>
    <col width="9" customWidth="1" style="40" min="3" max="3"/>
    <col width="14" customWidth="1" style="40" min="4" max="4"/>
    <col width="16" customWidth="1" style="40" min="5" max="5"/>
    <col width="13" customWidth="1" style="40" min="6" max="6"/>
    <col width="11" customWidth="1" style="40" min="7" max="7"/>
    <col width="10" customWidth="1" style="40" min="8" max="8"/>
    <col width="24" customWidth="1" style="40" min="9" max="9"/>
  </cols>
  <sheetData>
    <row r="1" ht="22.35" customHeight="1" s="41">
      <c r="A1" s="69" t="inlineStr">
        <is>
          <t>cmo_id</t>
        </is>
      </c>
      <c r="B1" s="69" t="inlineStr">
        <is>
          <t>cmo_name</t>
        </is>
      </c>
      <c r="C1" s="69" t="inlineStr">
        <is>
          <t>country</t>
        </is>
      </c>
      <c r="D1" s="69" t="inlineStr">
        <is>
          <t>fp_type</t>
        </is>
      </c>
      <c r="E1" s="69" t="inlineStr">
        <is>
          <t>strength_or_pack</t>
        </is>
      </c>
      <c r="F1" s="69" t="inlineStr">
        <is>
          <t>price_per_unit</t>
        </is>
      </c>
      <c r="G1" s="69" t="inlineStr">
        <is>
          <t>includes_dp</t>
        </is>
      </c>
      <c r="H1" s="69" t="inlineStr">
        <is>
          <t>unit</t>
        </is>
      </c>
      <c r="I1" s="69" t="inlineStr">
        <is>
          <t>note</t>
        </is>
      </c>
    </row>
    <row r="2" ht="15" customHeight="1" s="41">
      <c r="A2" s="65" t="inlineStr">
        <is>
          <t>DP-PATHEON</t>
        </is>
      </c>
      <c r="B2" s="66" t="inlineStr">
        <is>
          <t>Patheon</t>
        </is>
      </c>
      <c r="C2" s="66" t="inlineStr">
        <is>
          <t>CA</t>
        </is>
      </c>
      <c r="D2" s="66" t="inlineStr">
        <is>
          <t>Bottle Total</t>
        </is>
      </c>
      <c r="E2" s="66" t="inlineStr">
        <is>
          <t>25mg</t>
        </is>
      </c>
      <c r="F2" s="74" t="n">
        <v>4.89</v>
      </c>
      <c r="G2" s="66" t="inlineStr">
        <is>
          <t>Y</t>
        </is>
      </c>
      <c r="H2" s="66" t="inlineStr">
        <is>
          <t>USD/unit</t>
        </is>
      </c>
      <c r="I2" s="66" t="inlineStr">
        <is>
          <t>DP+Pkg 포함</t>
        </is>
      </c>
    </row>
    <row r="3" ht="15" customHeight="1" s="41">
      <c r="A3" s="65" t="inlineStr">
        <is>
          <t>DP-PATHEON</t>
        </is>
      </c>
      <c r="B3" s="66" t="inlineStr">
        <is>
          <t>Patheon</t>
        </is>
      </c>
      <c r="C3" s="66" t="inlineStr">
        <is>
          <t>CA</t>
        </is>
      </c>
      <c r="D3" s="66" t="inlineStr">
        <is>
          <t>Bottle Total</t>
        </is>
      </c>
      <c r="E3" s="66" t="inlineStr">
        <is>
          <t>50mg</t>
        </is>
      </c>
      <c r="F3" s="74" t="n">
        <v>4.9</v>
      </c>
      <c r="G3" s="66" t="inlineStr">
        <is>
          <t>Y</t>
        </is>
      </c>
      <c r="H3" s="66" t="inlineStr">
        <is>
          <t>USD/unit</t>
        </is>
      </c>
      <c r="I3" s="66" t="inlineStr">
        <is>
          <t>DP+Pkg 포함</t>
        </is>
      </c>
    </row>
    <row r="4" ht="15" customHeight="1" s="41">
      <c r="A4" s="65" t="inlineStr">
        <is>
          <t>DP-PATHEON</t>
        </is>
      </c>
      <c r="B4" s="66" t="inlineStr">
        <is>
          <t>Patheon</t>
        </is>
      </c>
      <c r="C4" s="66" t="inlineStr">
        <is>
          <t>CA</t>
        </is>
      </c>
      <c r="D4" s="66" t="inlineStr">
        <is>
          <t>Bottle Total</t>
        </is>
      </c>
      <c r="E4" s="66" t="inlineStr">
        <is>
          <t>100mg</t>
        </is>
      </c>
      <c r="F4" s="74" t="n">
        <v>4.33</v>
      </c>
      <c r="G4" s="66" t="inlineStr">
        <is>
          <t>Y</t>
        </is>
      </c>
      <c r="H4" s="66" t="inlineStr">
        <is>
          <t>USD/unit</t>
        </is>
      </c>
      <c r="I4" s="66" t="inlineStr">
        <is>
          <t>DP+Pkg 포함</t>
        </is>
      </c>
    </row>
    <row r="5" ht="15" customHeight="1" s="41">
      <c r="A5" s="65" t="inlineStr">
        <is>
          <t>DP-PATHEON</t>
        </is>
      </c>
      <c r="B5" s="66" t="inlineStr">
        <is>
          <t>Patheon</t>
        </is>
      </c>
      <c r="C5" s="66" t="inlineStr">
        <is>
          <t>CA</t>
        </is>
      </c>
      <c r="D5" s="66" t="inlineStr">
        <is>
          <t>Bottle Total</t>
        </is>
      </c>
      <c r="E5" s="66" t="inlineStr">
        <is>
          <t>150mg</t>
        </is>
      </c>
      <c r="F5" s="74" t="n">
        <v>5.73</v>
      </c>
      <c r="G5" s="66" t="inlineStr">
        <is>
          <t>Y</t>
        </is>
      </c>
      <c r="H5" s="66" t="inlineStr">
        <is>
          <t>USD/unit</t>
        </is>
      </c>
      <c r="I5" s="66" t="inlineStr">
        <is>
          <t>DP+Pkg 포함</t>
        </is>
      </c>
    </row>
    <row r="6" ht="15" customHeight="1" s="41">
      <c r="A6" s="65" t="inlineStr">
        <is>
          <t>DP-PATHEON</t>
        </is>
      </c>
      <c r="B6" s="66" t="inlineStr">
        <is>
          <t>Patheon</t>
        </is>
      </c>
      <c r="C6" s="66" t="inlineStr">
        <is>
          <t>CA</t>
        </is>
      </c>
      <c r="D6" s="66" t="inlineStr">
        <is>
          <t>Bottle Total</t>
        </is>
      </c>
      <c r="E6" s="66" t="inlineStr">
        <is>
          <t>200mg</t>
        </is>
      </c>
      <c r="F6" s="74" t="n">
        <v>7.15</v>
      </c>
      <c r="G6" s="66" t="inlineStr">
        <is>
          <t>Y</t>
        </is>
      </c>
      <c r="H6" s="66" t="inlineStr">
        <is>
          <t>USD/unit</t>
        </is>
      </c>
      <c r="I6" s="66" t="inlineStr">
        <is>
          <t>DP+Pkg 포함</t>
        </is>
      </c>
    </row>
    <row r="7" ht="15" customHeight="1" s="41">
      <c r="A7" s="65" t="inlineStr">
        <is>
          <t>FP-PCIUS</t>
        </is>
      </c>
      <c r="B7" s="66" t="inlineStr">
        <is>
          <t>PCI US</t>
        </is>
      </c>
      <c r="C7" s="66" t="inlineStr">
        <is>
          <t>US</t>
        </is>
      </c>
      <c r="D7" s="66" t="inlineStr">
        <is>
          <t>Bottle Total</t>
        </is>
      </c>
      <c r="E7" s="66" t="inlineStr">
        <is>
          <t>50mg</t>
        </is>
      </c>
      <c r="F7" s="74" t="n">
        <v>6.7</v>
      </c>
      <c r="G7" s="66" t="inlineStr">
        <is>
          <t>Y</t>
        </is>
      </c>
      <c r="H7" s="66" t="inlineStr">
        <is>
          <t>USD/unit</t>
        </is>
      </c>
      <c r="I7" s="66" t="inlineStr">
        <is>
          <t>Avara DP+PCI US Pkg</t>
        </is>
      </c>
    </row>
    <row r="8" ht="15" customHeight="1" s="41">
      <c r="A8" s="65" t="inlineStr">
        <is>
          <t>FP-PCIUS</t>
        </is>
      </c>
      <c r="B8" s="66" t="inlineStr">
        <is>
          <t>PCI US</t>
        </is>
      </c>
      <c r="C8" s="66" t="inlineStr">
        <is>
          <t>US</t>
        </is>
      </c>
      <c r="D8" s="66" t="inlineStr">
        <is>
          <t>Bottle Total</t>
        </is>
      </c>
      <c r="E8" s="66" t="inlineStr">
        <is>
          <t>100mg</t>
        </is>
      </c>
      <c r="F8" s="74" t="n">
        <v>6.69</v>
      </c>
      <c r="G8" s="66" t="inlineStr">
        <is>
          <t>Y</t>
        </is>
      </c>
      <c r="H8" s="66" t="inlineStr">
        <is>
          <t>USD/unit</t>
        </is>
      </c>
      <c r="I8" s="66" t="inlineStr">
        <is>
          <t>Avara DP+PCI US Pkg</t>
        </is>
      </c>
    </row>
    <row r="9" ht="15" customHeight="1" s="41">
      <c r="A9" s="65" t="inlineStr">
        <is>
          <t>FP-PCIUS</t>
        </is>
      </c>
      <c r="B9" s="66" t="inlineStr">
        <is>
          <t>PCI US</t>
        </is>
      </c>
      <c r="C9" s="66" t="inlineStr">
        <is>
          <t>US</t>
        </is>
      </c>
      <c r="D9" s="66" t="inlineStr">
        <is>
          <t>Bottle Total</t>
        </is>
      </c>
      <c r="E9" s="66" t="inlineStr">
        <is>
          <t>150mg</t>
        </is>
      </c>
      <c r="F9" s="74" t="n">
        <v>8.050000000000001</v>
      </c>
      <c r="G9" s="66" t="inlineStr">
        <is>
          <t>Y</t>
        </is>
      </c>
      <c r="H9" s="66" t="inlineStr">
        <is>
          <t>USD/unit</t>
        </is>
      </c>
      <c r="I9" s="66" t="inlineStr">
        <is>
          <t>Avara DP+PCI US Pkg</t>
        </is>
      </c>
    </row>
    <row r="10" ht="15" customHeight="1" s="41">
      <c r="A10" s="65" t="inlineStr">
        <is>
          <t>FP-PCIUS</t>
        </is>
      </c>
      <c r="B10" s="66" t="inlineStr">
        <is>
          <t>PCI US</t>
        </is>
      </c>
      <c r="C10" s="66" t="inlineStr">
        <is>
          <t>US</t>
        </is>
      </c>
      <c r="D10" s="66" t="inlineStr">
        <is>
          <t>Bottle Total</t>
        </is>
      </c>
      <c r="E10" s="66" t="inlineStr">
        <is>
          <t>200mg</t>
        </is>
      </c>
      <c r="F10" s="74" t="n">
        <v>8.199999999999999</v>
      </c>
      <c r="G10" s="66" t="inlineStr">
        <is>
          <t>Y</t>
        </is>
      </c>
      <c r="H10" s="66" t="inlineStr">
        <is>
          <t>USD/unit</t>
        </is>
      </c>
      <c r="I10" s="66" t="inlineStr">
        <is>
          <t>Avara DP+PCI US Pkg</t>
        </is>
      </c>
    </row>
    <row r="11" ht="15" customHeight="1" s="41">
      <c r="A11" s="65" t="inlineStr">
        <is>
          <t>SP-PCICA</t>
        </is>
      </c>
      <c r="B11" s="66" t="inlineStr">
        <is>
          <t>PCI CA</t>
        </is>
      </c>
      <c r="C11" s="66" t="inlineStr">
        <is>
          <t>CA</t>
        </is>
      </c>
      <c r="D11" s="66" t="inlineStr">
        <is>
          <t>Blister Card</t>
        </is>
      </c>
      <c r="E11" s="66" t="inlineStr">
        <is>
          <t>TP1</t>
        </is>
      </c>
      <c r="F11" s="74" t="n">
        <v>7.76</v>
      </c>
      <c r="G11" s="66" t="inlineStr">
        <is>
          <t>N</t>
        </is>
      </c>
      <c r="H11" s="66" t="inlineStr">
        <is>
          <t>USD/Card</t>
        </is>
      </c>
      <c r="I11" s="67" t="inlineStr">
        <is>
          <t>포장·조립만(DP별도) / Run3K</t>
        </is>
      </c>
    </row>
    <row r="12" ht="15" customHeight="1" s="41">
      <c r="A12" s="65" t="inlineStr">
        <is>
          <t>SP-PCICA</t>
        </is>
      </c>
      <c r="B12" s="66" t="inlineStr">
        <is>
          <t>PCI CA</t>
        </is>
      </c>
      <c r="C12" s="66" t="inlineStr">
        <is>
          <t>CA</t>
        </is>
      </c>
      <c r="D12" s="66" t="inlineStr">
        <is>
          <t>Blister Card</t>
        </is>
      </c>
      <c r="E12" s="66" t="inlineStr">
        <is>
          <t>TP2</t>
        </is>
      </c>
      <c r="F12" s="74" t="n">
        <v>9.02</v>
      </c>
      <c r="G12" s="66" t="inlineStr">
        <is>
          <t>N</t>
        </is>
      </c>
      <c r="H12" s="66" t="inlineStr">
        <is>
          <t>USD/Card</t>
        </is>
      </c>
      <c r="I12" s="67" t="inlineStr">
        <is>
          <t>포장·조립만(DP별도)</t>
        </is>
      </c>
    </row>
    <row r="13" ht="15" customHeight="1" s="41">
      <c r="A13" s="65" t="inlineStr">
        <is>
          <t>SP-PCICA</t>
        </is>
      </c>
      <c r="B13" s="66" t="inlineStr">
        <is>
          <t>PCI CA</t>
        </is>
      </c>
      <c r="C13" s="66" t="inlineStr">
        <is>
          <t>CA</t>
        </is>
      </c>
      <c r="D13" s="66" t="inlineStr">
        <is>
          <t>Blister Card</t>
        </is>
      </c>
      <c r="E13" s="66" t="inlineStr">
        <is>
          <t>TP3</t>
        </is>
      </c>
      <c r="F13" s="74" t="n">
        <v>9.02</v>
      </c>
      <c r="G13" s="66" t="inlineStr">
        <is>
          <t>N</t>
        </is>
      </c>
      <c r="H13" s="66" t="inlineStr">
        <is>
          <t>USD/Card</t>
        </is>
      </c>
      <c r="I13" s="67" t="inlineStr">
        <is>
          <t>포장·조립만(DP별도)</t>
        </is>
      </c>
    </row>
    <row r="14" ht="15" customHeight="1" s="41">
      <c r="A14" s="65" t="inlineStr">
        <is>
          <t>SP-PCICA</t>
        </is>
      </c>
      <c r="B14" s="66" t="inlineStr">
        <is>
          <t>PCI CA</t>
        </is>
      </c>
      <c r="C14" s="66" t="inlineStr">
        <is>
          <t>CA</t>
        </is>
      </c>
      <c r="D14" s="66" t="inlineStr">
        <is>
          <t>Blister Card</t>
        </is>
      </c>
      <c r="E14" s="66" t="inlineStr">
        <is>
          <t>MP3B</t>
        </is>
      </c>
      <c r="F14" s="74" t="n">
        <v>14.62</v>
      </c>
      <c r="G14" s="66" t="inlineStr">
        <is>
          <t>N</t>
        </is>
      </c>
      <c r="H14" s="66" t="inlineStr">
        <is>
          <t>USD/Card</t>
        </is>
      </c>
      <c r="I14" s="67" t="inlineStr">
        <is>
          <t>포장·조립만(DP별도)</t>
        </is>
      </c>
    </row>
    <row r="15" ht="15" customHeight="1" s="41">
      <c r="A15" s="65" t="inlineStr">
        <is>
          <t>SP-PCICA</t>
        </is>
      </c>
      <c r="B15" s="66" t="inlineStr">
        <is>
          <t>PCI CA</t>
        </is>
      </c>
      <c r="C15" s="66" t="inlineStr">
        <is>
          <t>CA</t>
        </is>
      </c>
      <c r="D15" s="66" t="inlineStr">
        <is>
          <t>Blister Card</t>
        </is>
      </c>
      <c r="E15" s="66" t="inlineStr">
        <is>
          <t>MP4</t>
        </is>
      </c>
      <c r="F15" s="74" t="n">
        <v>14.62</v>
      </c>
      <c r="G15" s="66" t="inlineStr">
        <is>
          <t>N</t>
        </is>
      </c>
      <c r="H15" s="66" t="inlineStr">
        <is>
          <t>USD/Card</t>
        </is>
      </c>
      <c r="I15" s="67" t="inlineStr">
        <is>
          <t>포장·조립만(DP별도)</t>
        </is>
      </c>
    </row>
  </sheetData>
  <autoFilter ref="A1:I15"/>
  <dataValidations count="2">
    <dataValidation sqref="A2:A15" showDropDown="0" showInputMessage="0" showErrorMessage="0" allowBlank="1" type="list" errorStyle="stop" operator="between">
      <formula1>DIM_CMO!$A$2:$A$200</formula1>
      <formula2>0</formula2>
    </dataValidation>
    <dataValidation sqref="G2:G200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K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40" min="1" max="1"/>
    <col width="16" customWidth="1" style="40" min="2" max="2"/>
    <col width="7" customWidth="1" style="40" min="3" max="3"/>
    <col width="8" customWidth="1" style="40" min="4" max="5"/>
    <col width="9" customWidth="1" style="40" min="6" max="6"/>
    <col width="11" customWidth="1" style="40" min="7" max="8"/>
    <col width="18" customWidth="1" style="40" min="9" max="9"/>
    <col width="10" customWidth="1" style="40" min="10" max="10"/>
    <col width="28" customWidth="1" style="40" min="11" max="11"/>
  </cols>
  <sheetData>
    <row r="1" ht="22.35" customHeight="1" s="41">
      <c r="A1" s="75" t="inlineStr">
        <is>
          <t>tariff_id</t>
        </is>
      </c>
      <c r="B1" s="75" t="inlineStr">
        <is>
          <t>scenario_group</t>
        </is>
      </c>
      <c r="C1" s="75" t="inlineStr">
        <is>
          <t>stage</t>
        </is>
      </c>
      <c r="D1" s="75" t="inlineStr">
        <is>
          <t>origin</t>
        </is>
      </c>
      <c r="E1" s="75" t="inlineStr">
        <is>
          <t>dest</t>
        </is>
      </c>
      <c r="F1" s="75" t="inlineStr">
        <is>
          <t>rate_pct</t>
        </is>
      </c>
      <c r="G1" s="75" t="inlineStr">
        <is>
          <t>rate_display</t>
        </is>
      </c>
      <c r="H1" s="75" t="inlineStr">
        <is>
          <t>basis</t>
        </is>
      </c>
      <c r="I1" s="75" t="inlineStr">
        <is>
          <t>legal_basis</t>
        </is>
      </c>
      <c r="J1" s="75" t="inlineStr">
        <is>
          <t>effective</t>
        </is>
      </c>
      <c r="K1" s="75" t="inlineStr">
        <is>
          <t>note</t>
        </is>
      </c>
    </row>
    <row r="2" ht="15" customHeight="1" s="41">
      <c r="A2" s="65" t="inlineStr">
        <is>
          <t>T-A1</t>
        </is>
      </c>
      <c r="B2" s="66" t="inlineStr">
        <is>
          <t>(A) RSM 수입</t>
        </is>
      </c>
      <c r="C2" s="66" t="inlineStr">
        <is>
          <t>RSM</t>
        </is>
      </c>
      <c r="D2" s="66" t="inlineStr">
        <is>
          <t>CN</t>
        </is>
      </c>
      <c r="E2" s="66" t="inlineStr">
        <is>
          <t>KR</t>
        </is>
      </c>
      <c r="F2" s="76" t="n">
        <v>0</v>
      </c>
      <c r="G2" s="77" t="inlineStr">
        <is>
          <t>0%</t>
        </is>
      </c>
      <c r="H2" s="66" t="inlineStr">
        <is>
          <t>RSM invoice</t>
        </is>
      </c>
      <c r="I2" s="67" t="inlineStr">
        <is>
          <t>한국 FTZ 재수출 면제</t>
        </is>
      </c>
      <c r="J2" s="66" t="inlineStr">
        <is>
          <t>2026-10</t>
        </is>
      </c>
      <c r="K2" s="66" t="inlineStr">
        <is>
          <t>SKBT — 반입→제조→2년내 재수출</t>
        </is>
      </c>
    </row>
    <row r="3" ht="15" customHeight="1" s="41">
      <c r="A3" s="65" t="inlineStr">
        <is>
          <t>T-A2</t>
        </is>
      </c>
      <c r="B3" s="66" t="inlineStr">
        <is>
          <t>(A) RSM 수입</t>
        </is>
      </c>
      <c r="C3" s="66" t="inlineStr">
        <is>
          <t>RSM</t>
        </is>
      </c>
      <c r="D3" s="66" t="inlineStr">
        <is>
          <t>CN</t>
        </is>
      </c>
      <c r="E3" s="66" t="inlineStr">
        <is>
          <t>US</t>
        </is>
      </c>
      <c r="F3" s="76" t="n">
        <v>100</v>
      </c>
      <c r="G3" s="78" t="inlineStr">
        <is>
          <t>100%</t>
        </is>
      </c>
      <c r="H3" s="66" t="inlineStr">
        <is>
          <t>RSM invoice</t>
        </is>
      </c>
      <c r="I3" s="66" t="inlineStr">
        <is>
          <t>Section 232</t>
        </is>
      </c>
      <c r="J3" s="66" t="inlineStr">
        <is>
          <t>2026-10</t>
        </is>
      </c>
      <c r="K3" s="66" t="inlineStr">
        <is>
          <t>Cambrex/SKPT/Curia</t>
        </is>
      </c>
    </row>
    <row r="4" ht="15" customHeight="1" s="41">
      <c r="A4" s="65" t="inlineStr">
        <is>
          <t>T-A3</t>
        </is>
      </c>
      <c r="B4" s="66" t="inlineStr">
        <is>
          <t>(A) RSM 수입</t>
        </is>
      </c>
      <c r="C4" s="66" t="inlineStr">
        <is>
          <t>RSM</t>
        </is>
      </c>
      <c r="D4" s="66" t="inlineStr">
        <is>
          <t>CN</t>
        </is>
      </c>
      <c r="E4" s="66" t="inlineStr">
        <is>
          <t>CN</t>
        </is>
      </c>
      <c r="F4" s="76" t="n">
        <v>0</v>
      </c>
      <c r="G4" s="77" t="inlineStr">
        <is>
          <t>0%</t>
        </is>
      </c>
      <c r="H4" s="66" t="inlineStr">
        <is>
          <t>-</t>
        </is>
      </c>
      <c r="I4" s="67" t="inlineStr">
        <is>
          <t>자국 조달</t>
        </is>
      </c>
      <c r="J4" s="66" t="inlineStr">
        <is>
          <t>2026-10</t>
        </is>
      </c>
      <c r="K4" s="66" t="inlineStr">
        <is>
          <t>Porton (수입 없음)</t>
        </is>
      </c>
    </row>
    <row r="5" ht="15" customHeight="1" s="41">
      <c r="A5" s="65" t="inlineStr">
        <is>
          <t>T-A4</t>
        </is>
      </c>
      <c r="B5" s="66" t="inlineStr">
        <is>
          <t>(A) RSM 수입</t>
        </is>
      </c>
      <c r="C5" s="66" t="inlineStr">
        <is>
          <t>RSM</t>
        </is>
      </c>
      <c r="D5" s="66" t="inlineStr">
        <is>
          <t>IN</t>
        </is>
      </c>
      <c r="E5" s="66" t="inlineStr">
        <is>
          <t>US</t>
        </is>
      </c>
      <c r="F5" s="76" t="n">
        <v>2</v>
      </c>
      <c r="G5" s="79" t="inlineStr">
        <is>
          <t>0~low</t>
        </is>
      </c>
      <c r="H5" s="66" t="inlineStr">
        <is>
          <t>RSM invoice</t>
        </is>
      </c>
      <c r="I5" s="67" t="inlineStr">
        <is>
          <t>일반 MFN</t>
        </is>
      </c>
      <c r="J5" s="66" t="inlineStr">
        <is>
          <t>2026-10</t>
        </is>
      </c>
      <c r="K5" s="66" t="inlineStr">
        <is>
          <t>Piramal India 우회</t>
        </is>
      </c>
    </row>
    <row r="6" ht="15" customHeight="1" s="41">
      <c r="A6" s="65" t="inlineStr">
        <is>
          <t>T-B1</t>
        </is>
      </c>
      <c r="B6" s="66" t="inlineStr">
        <is>
          <t>(B) API 수출입</t>
        </is>
      </c>
      <c r="C6" s="66" t="inlineStr">
        <is>
          <t>API</t>
        </is>
      </c>
      <c r="D6" s="66" t="inlineStr">
        <is>
          <t>KR</t>
        </is>
      </c>
      <c r="E6" s="66" t="inlineStr">
        <is>
          <t>US</t>
        </is>
      </c>
      <c r="F6" s="76" t="n">
        <v>15</v>
      </c>
      <c r="G6" s="80" t="inlineStr">
        <is>
          <t>15%</t>
        </is>
      </c>
      <c r="H6" s="66" t="inlineStr">
        <is>
          <t>API TP</t>
        </is>
      </c>
      <c r="I6" s="67" t="inlineStr">
        <is>
          <t>수입국 부과</t>
        </is>
      </c>
      <c r="J6" s="66" t="inlineStr">
        <is>
          <t>2026-10</t>
        </is>
      </c>
      <c r="K6" s="66" t="inlineStr">
        <is>
          <t>SKBT→SK Life Science</t>
        </is>
      </c>
    </row>
    <row r="7" ht="15" customHeight="1" s="41">
      <c r="A7" s="65" t="inlineStr">
        <is>
          <t>T-B2</t>
        </is>
      </c>
      <c r="B7" s="66" t="inlineStr">
        <is>
          <t>(B) API 수출입</t>
        </is>
      </c>
      <c r="C7" s="66" t="inlineStr">
        <is>
          <t>API</t>
        </is>
      </c>
      <c r="D7" s="66" t="inlineStr">
        <is>
          <t>KR</t>
        </is>
      </c>
      <c r="E7" s="66" t="inlineStr">
        <is>
          <t>EU</t>
        </is>
      </c>
      <c r="F7" s="76" t="n">
        <v>0</v>
      </c>
      <c r="G7" s="77" t="inlineStr">
        <is>
          <t>0%</t>
        </is>
      </c>
      <c r="H7" s="66" t="inlineStr">
        <is>
          <t>API TP</t>
        </is>
      </c>
      <c r="I7" s="66" t="inlineStr">
        <is>
          <t>WTO 의약품협정/FTA</t>
        </is>
      </c>
      <c r="J7" s="66" t="inlineStr">
        <is>
          <t>2026-10</t>
        </is>
      </c>
      <c r="K7" s="66" t="inlineStr">
        <is>
          <t>SKBT→Angelini</t>
        </is>
      </c>
    </row>
    <row r="8" ht="15" customHeight="1" s="41">
      <c r="A8" s="65" t="inlineStr">
        <is>
          <t>T-B3</t>
        </is>
      </c>
      <c r="B8" s="66" t="inlineStr">
        <is>
          <t>(B) API 수출입</t>
        </is>
      </c>
      <c r="C8" s="66" t="inlineStr">
        <is>
          <t>API</t>
        </is>
      </c>
      <c r="D8" s="66" t="inlineStr">
        <is>
          <t>KR</t>
        </is>
      </c>
      <c r="E8" s="66" t="inlineStr">
        <is>
          <t>CA</t>
        </is>
      </c>
      <c r="F8" s="76" t="n">
        <v>0</v>
      </c>
      <c r="G8" s="77" t="inlineStr">
        <is>
          <t>0%</t>
        </is>
      </c>
      <c r="H8" s="66" t="inlineStr">
        <is>
          <t>API TP</t>
        </is>
      </c>
      <c r="I8" s="67" t="inlineStr">
        <is>
          <t>협정 무관세</t>
        </is>
      </c>
      <c r="J8" s="66" t="inlineStr">
        <is>
          <t>2026-10</t>
        </is>
      </c>
      <c r="K8" s="66" t="inlineStr">
        <is>
          <t>SKBT→Knight 코드변환</t>
        </is>
      </c>
    </row>
    <row r="9" ht="15" customHeight="1" s="41">
      <c r="A9" s="65" t="inlineStr">
        <is>
          <t>T-B4</t>
        </is>
      </c>
      <c r="B9" s="66" t="inlineStr">
        <is>
          <t>(B) API 수출입</t>
        </is>
      </c>
      <c r="C9" s="66" t="inlineStr">
        <is>
          <t>API</t>
        </is>
      </c>
      <c r="D9" s="66" t="inlineStr">
        <is>
          <t>KR</t>
        </is>
      </c>
      <c r="E9" s="66" t="inlineStr">
        <is>
          <t>JP</t>
        </is>
      </c>
      <c r="F9" s="76" t="n">
        <v>0</v>
      </c>
      <c r="G9" s="77" t="inlineStr">
        <is>
          <t>0%</t>
        </is>
      </c>
      <c r="H9" s="66" t="inlineStr">
        <is>
          <t>API TP</t>
        </is>
      </c>
      <c r="I9" s="67" t="inlineStr">
        <is>
          <t>협정 서명국</t>
        </is>
      </c>
      <c r="J9" s="66" t="inlineStr">
        <is>
          <t>2026-10</t>
        </is>
      </c>
      <c r="K9" s="66" t="inlineStr">
        <is>
          <t>SKBT→Ono</t>
        </is>
      </c>
    </row>
    <row r="10" ht="15" customHeight="1" s="41">
      <c r="A10" s="65" t="inlineStr">
        <is>
          <t>T-B5</t>
        </is>
      </c>
      <c r="B10" s="66" t="inlineStr">
        <is>
          <t>(B) API 수출입</t>
        </is>
      </c>
      <c r="C10" s="66" t="inlineStr">
        <is>
          <t>API</t>
        </is>
      </c>
      <c r="D10" s="66" t="inlineStr">
        <is>
          <t>KR</t>
        </is>
      </c>
      <c r="E10" s="66" t="inlineStr">
        <is>
          <t>ROW</t>
        </is>
      </c>
      <c r="F10" s="76" t="n">
        <v>7</v>
      </c>
      <c r="G10" s="79" t="inlineStr">
        <is>
          <t>0~14%</t>
        </is>
      </c>
      <c r="H10" s="66" t="inlineStr">
        <is>
          <t>API TP</t>
        </is>
      </c>
      <c r="I10" s="67" t="inlineStr">
        <is>
          <t>수령국별 상이</t>
        </is>
      </c>
      <c r="J10" s="66" t="inlineStr">
        <is>
          <t>2026-10</t>
        </is>
      </c>
      <c r="K10" s="66" t="inlineStr">
        <is>
          <t>Hikma/Eurofarma/Dexcel</t>
        </is>
      </c>
    </row>
    <row r="11" ht="15" customHeight="1" s="41">
      <c r="A11" s="65" t="inlineStr">
        <is>
          <t>T-B6</t>
        </is>
      </c>
      <c r="B11" s="66" t="inlineStr">
        <is>
          <t>(B) API 수출입</t>
        </is>
      </c>
      <c r="C11" s="66" t="inlineStr">
        <is>
          <t>API</t>
        </is>
      </c>
      <c r="D11" s="66" t="inlineStr">
        <is>
          <t>CN</t>
        </is>
      </c>
      <c r="E11" s="66" t="inlineStr">
        <is>
          <t>US</t>
        </is>
      </c>
      <c r="F11" s="76" t="n">
        <v>100</v>
      </c>
      <c r="G11" s="78" t="inlineStr">
        <is>
          <t>100%</t>
        </is>
      </c>
      <c r="H11" s="66" t="inlineStr">
        <is>
          <t>API TP</t>
        </is>
      </c>
      <c r="I11" s="66" t="inlineStr">
        <is>
          <t>Section 232</t>
        </is>
      </c>
      <c r="J11" s="66" t="inlineStr">
        <is>
          <t>2026-10</t>
        </is>
      </c>
      <c r="K11" s="66" t="inlineStr">
        <is>
          <t>Porton→US</t>
        </is>
      </c>
    </row>
    <row r="12" ht="15" customHeight="1" s="41">
      <c r="A12" s="65" t="inlineStr">
        <is>
          <t>T-B7</t>
        </is>
      </c>
      <c r="B12" s="66" t="inlineStr">
        <is>
          <t>(B) API 수출입</t>
        </is>
      </c>
      <c r="C12" s="66" t="inlineStr">
        <is>
          <t>API</t>
        </is>
      </c>
      <c r="D12" s="66" t="inlineStr">
        <is>
          <t>CN</t>
        </is>
      </c>
      <c r="E12" s="66" t="inlineStr">
        <is>
          <t>EU</t>
        </is>
      </c>
      <c r="F12" s="76" t="n">
        <v>6.5</v>
      </c>
      <c r="G12" s="79" t="inlineStr">
        <is>
          <t>0~6.5%</t>
        </is>
      </c>
      <c r="H12" s="66" t="inlineStr">
        <is>
          <t>API TP</t>
        </is>
      </c>
      <c r="I12" s="66" t="inlineStr">
        <is>
          <t>WTO 의약품협정 MFN</t>
        </is>
      </c>
      <c r="J12" s="66" t="inlineStr">
        <is>
          <t>2026-10</t>
        </is>
      </c>
      <c r="K12" s="66" t="inlineStr">
        <is>
          <t>Porton→Angelini</t>
        </is>
      </c>
    </row>
    <row r="13" ht="15" customHeight="1" s="41">
      <c r="A13" s="65" t="inlineStr">
        <is>
          <t>T-B8</t>
        </is>
      </c>
      <c r="B13" s="66" t="inlineStr">
        <is>
          <t>(B) API 수출입</t>
        </is>
      </c>
      <c r="C13" s="66" t="inlineStr">
        <is>
          <t>API</t>
        </is>
      </c>
      <c r="D13" s="66" t="inlineStr">
        <is>
          <t>US</t>
        </is>
      </c>
      <c r="E13" s="66" t="inlineStr">
        <is>
          <t>US</t>
        </is>
      </c>
      <c r="F13" s="76" t="n">
        <v>0</v>
      </c>
      <c r="G13" s="77" t="inlineStr">
        <is>
          <t>0%</t>
        </is>
      </c>
      <c r="H13" s="66" t="inlineStr">
        <is>
          <t>-</t>
        </is>
      </c>
      <c r="I13" s="66" t="inlineStr">
        <is>
          <t>US 내수</t>
        </is>
      </c>
      <c r="J13" s="66" t="inlineStr">
        <is>
          <t>2026-10</t>
        </is>
      </c>
      <c r="K13" s="66" t="inlineStr">
        <is>
          <t>Cambrex/SKPT 내수</t>
        </is>
      </c>
    </row>
    <row r="14" ht="15" customHeight="1" s="41">
      <c r="A14" s="65" t="inlineStr">
        <is>
          <t>T-C1</t>
        </is>
      </c>
      <c r="B14" s="66" t="inlineStr">
        <is>
          <t>(C) 對中 수령국별</t>
        </is>
      </c>
      <c r="C14" s="66" t="inlineStr">
        <is>
          <t>API</t>
        </is>
      </c>
      <c r="D14" s="66" t="inlineStr">
        <is>
          <t>CN</t>
        </is>
      </c>
      <c r="E14" s="66" t="inlineStr">
        <is>
          <t>US</t>
        </is>
      </c>
      <c r="F14" s="76" t="n">
        <v>100</v>
      </c>
      <c r="G14" s="78" t="inlineStr">
        <is>
          <t>100%</t>
        </is>
      </c>
      <c r="H14" s="66" t="inlineStr">
        <is>
          <t>API TP</t>
        </is>
      </c>
      <c r="I14" s="66" t="inlineStr">
        <is>
          <t>Section 232</t>
        </is>
      </c>
      <c r="J14" s="66" t="inlineStr">
        <is>
          <t>2026-10</t>
        </is>
      </c>
      <c r="K14" s="66" t="inlineStr">
        <is>
          <t>SK Life Science</t>
        </is>
      </c>
    </row>
    <row r="15" ht="15" customHeight="1" s="41">
      <c r="A15" s="65" t="inlineStr">
        <is>
          <t>T-C2</t>
        </is>
      </c>
      <c r="B15" s="66" t="inlineStr">
        <is>
          <t>(C) 對中 수령국별</t>
        </is>
      </c>
      <c r="C15" s="66" t="inlineStr">
        <is>
          <t>API</t>
        </is>
      </c>
      <c r="D15" s="66" t="inlineStr">
        <is>
          <t>CN</t>
        </is>
      </c>
      <c r="E15" s="66" t="inlineStr">
        <is>
          <t>EU</t>
        </is>
      </c>
      <c r="F15" s="76" t="n">
        <v>6.5</v>
      </c>
      <c r="G15" s="79" t="inlineStr">
        <is>
          <t>0~6.5%</t>
        </is>
      </c>
      <c r="H15" s="66" t="inlineStr">
        <is>
          <t>API TP</t>
        </is>
      </c>
      <c r="I15" s="66" t="inlineStr">
        <is>
          <t>WTO MFN</t>
        </is>
      </c>
      <c r="J15" s="66" t="inlineStr">
        <is>
          <t>2026-10</t>
        </is>
      </c>
      <c r="K15" s="66" t="inlineStr">
        <is>
          <t>Angelini</t>
        </is>
      </c>
    </row>
    <row r="16" ht="15" customHeight="1" s="41">
      <c r="A16" s="65" t="inlineStr">
        <is>
          <t>T-C3</t>
        </is>
      </c>
      <c r="B16" s="66" t="inlineStr">
        <is>
          <t>(C) 對中 수령국별</t>
        </is>
      </c>
      <c r="C16" s="66" t="inlineStr">
        <is>
          <t>API</t>
        </is>
      </c>
      <c r="D16" s="66" t="inlineStr">
        <is>
          <t>CN</t>
        </is>
      </c>
      <c r="E16" s="66" t="inlineStr">
        <is>
          <t>CA</t>
        </is>
      </c>
      <c r="F16" s="76" t="n">
        <v>6.5</v>
      </c>
      <c r="G16" s="79" t="inlineStr">
        <is>
          <t>0~6.5%</t>
        </is>
      </c>
      <c r="H16" s="66" t="inlineStr">
        <is>
          <t>API TP</t>
        </is>
      </c>
      <c r="I16" s="67" t="inlineStr">
        <is>
          <t>협정 서명국</t>
        </is>
      </c>
      <c r="J16" s="66" t="inlineStr">
        <is>
          <t>2026-10</t>
        </is>
      </c>
      <c r="K16" s="66" t="inlineStr">
        <is>
          <t>Knight</t>
        </is>
      </c>
    </row>
    <row r="17" ht="15" customHeight="1" s="41">
      <c r="A17" s="65" t="inlineStr">
        <is>
          <t>T-C4</t>
        </is>
      </c>
      <c r="B17" s="66" t="inlineStr">
        <is>
          <t>(C) 對中 수령국별</t>
        </is>
      </c>
      <c r="C17" s="66" t="inlineStr">
        <is>
          <t>API</t>
        </is>
      </c>
      <c r="D17" s="66" t="inlineStr">
        <is>
          <t>CN</t>
        </is>
      </c>
      <c r="E17" s="66" t="inlineStr">
        <is>
          <t>JP</t>
        </is>
      </c>
      <c r="F17" s="76" t="n">
        <v>0</v>
      </c>
      <c r="G17" s="77" t="inlineStr">
        <is>
          <t>0%</t>
        </is>
      </c>
      <c r="H17" s="66" t="inlineStr">
        <is>
          <t>API TP</t>
        </is>
      </c>
      <c r="I17" s="67" t="inlineStr">
        <is>
          <t>협정 서명국</t>
        </is>
      </c>
      <c r="J17" s="66" t="inlineStr">
        <is>
          <t>2026-10</t>
        </is>
      </c>
      <c r="K17" s="66" t="inlineStr">
        <is>
          <t>Ono</t>
        </is>
      </c>
    </row>
    <row r="18" ht="15" customHeight="1" s="41">
      <c r="A18" s="65" t="inlineStr">
        <is>
          <t>T-C5</t>
        </is>
      </c>
      <c r="B18" s="66" t="inlineStr">
        <is>
          <t>(C) 對中 수령국별</t>
        </is>
      </c>
      <c r="C18" s="66" t="inlineStr">
        <is>
          <t>API</t>
        </is>
      </c>
      <c r="D18" s="66" t="inlineStr">
        <is>
          <t>CN</t>
        </is>
      </c>
      <c r="E18" s="66" t="inlineStr">
        <is>
          <t>HK</t>
        </is>
      </c>
      <c r="F18" s="76" t="n">
        <v>0</v>
      </c>
      <c r="G18" s="77" t="inlineStr">
        <is>
          <t>0%</t>
        </is>
      </c>
      <c r="H18" s="66" t="inlineStr">
        <is>
          <t>-</t>
        </is>
      </c>
      <c r="I18" s="67" t="inlineStr">
        <is>
          <t>자유항</t>
        </is>
      </c>
      <c r="J18" s="66" t="inlineStr">
        <is>
          <t>2026-10</t>
        </is>
      </c>
      <c r="K18" s="66" t="inlineStr">
        <is>
          <t>Ignis</t>
        </is>
      </c>
    </row>
    <row r="19" ht="15" customHeight="1" s="41">
      <c r="A19" s="65" t="inlineStr">
        <is>
          <t>T-C6</t>
        </is>
      </c>
      <c r="B19" s="66" t="inlineStr">
        <is>
          <t>(C) 對中 수령국별</t>
        </is>
      </c>
      <c r="C19" s="66" t="inlineStr">
        <is>
          <t>API</t>
        </is>
      </c>
      <c r="D19" s="66" t="inlineStr">
        <is>
          <t>CN</t>
        </is>
      </c>
      <c r="E19" s="66" t="inlineStr">
        <is>
          <t>BR</t>
        </is>
      </c>
      <c r="F19" s="76" t="n">
        <v>11</v>
      </c>
      <c r="G19" s="80" t="inlineStr">
        <is>
          <t>8~14%</t>
        </is>
      </c>
      <c r="H19" s="66" t="inlineStr">
        <is>
          <t>API TP</t>
        </is>
      </c>
      <c r="I19" s="66" t="inlineStr">
        <is>
          <t>Mercosur CET</t>
        </is>
      </c>
      <c r="J19" s="66" t="inlineStr">
        <is>
          <t>2026-10</t>
        </is>
      </c>
      <c r="K19" s="66" t="inlineStr">
        <is>
          <t>Eurofarma</t>
        </is>
      </c>
    </row>
    <row r="20" ht="15" customHeight="1" s="41">
      <c r="A20" s="65" t="inlineStr">
        <is>
          <t>T-C7</t>
        </is>
      </c>
      <c r="B20" s="66" t="inlineStr">
        <is>
          <t>(C) 對中 수령국별</t>
        </is>
      </c>
      <c r="C20" s="66" t="inlineStr">
        <is>
          <t>API</t>
        </is>
      </c>
      <c r="D20" s="66" t="inlineStr">
        <is>
          <t>CN</t>
        </is>
      </c>
      <c r="E20" s="66" t="inlineStr">
        <is>
          <t>MENA</t>
        </is>
      </c>
      <c r="F20" s="76" t="n">
        <v>5</v>
      </c>
      <c r="G20" s="79" t="inlineStr">
        <is>
          <t>~5%</t>
        </is>
      </c>
      <c r="H20" s="66" t="inlineStr">
        <is>
          <t>API TP</t>
        </is>
      </c>
      <c r="I20" s="67" t="inlineStr">
        <is>
          <t>국가별 상이</t>
        </is>
      </c>
      <c r="J20" s="66" t="inlineStr">
        <is>
          <t>2026-10</t>
        </is>
      </c>
      <c r="K20" s="66" t="inlineStr">
        <is>
          <t>Hikma</t>
        </is>
      </c>
    </row>
    <row r="21" ht="15" customHeight="1" s="41">
      <c r="A21" s="65" t="inlineStr">
        <is>
          <t>T-C8</t>
        </is>
      </c>
      <c r="B21" s="66" t="inlineStr">
        <is>
          <t>(C) 對中 수령국별</t>
        </is>
      </c>
      <c r="C21" s="66" t="inlineStr">
        <is>
          <t>API</t>
        </is>
      </c>
      <c r="D21" s="66" t="inlineStr">
        <is>
          <t>CN</t>
        </is>
      </c>
      <c r="E21" s="66" t="inlineStr">
        <is>
          <t>IL</t>
        </is>
      </c>
      <c r="F21" s="76" t="n">
        <v>0</v>
      </c>
      <c r="G21" s="77" t="inlineStr">
        <is>
          <t>0~low</t>
        </is>
      </c>
      <c r="H21" s="66" t="inlineStr">
        <is>
          <t>API TP</t>
        </is>
      </c>
      <c r="I21" s="67" t="inlineStr">
        <is>
          <t>확인 필요</t>
        </is>
      </c>
      <c r="J21" s="66" t="inlineStr">
        <is>
          <t>2026-10</t>
        </is>
      </c>
      <c r="K21" s="66" t="inlineStr">
        <is>
          <t>Dexcel</t>
        </is>
      </c>
    </row>
    <row r="22" ht="15" customHeight="1" s="41">
      <c r="A22" s="65" t="inlineStr">
        <is>
          <t>T-D1</t>
        </is>
      </c>
      <c r="B22" s="66" t="inlineStr">
        <is>
          <t>(D) DP/SP 통관</t>
        </is>
      </c>
      <c r="C22" s="66" t="inlineStr">
        <is>
          <t>DP</t>
        </is>
      </c>
      <c r="D22" s="66" t="inlineStr">
        <is>
          <t>US</t>
        </is>
      </c>
      <c r="E22" s="66" t="inlineStr">
        <is>
          <t>ROW1</t>
        </is>
      </c>
      <c r="F22" s="76" t="n">
        <v>0</v>
      </c>
      <c r="G22" s="77" t="inlineStr">
        <is>
          <t>0% (참조)</t>
        </is>
      </c>
      <c r="H22" s="67" t="inlineStr">
        <is>
          <t>코드변환</t>
        </is>
      </c>
      <c r="I22" s="67" t="inlineStr">
        <is>
          <t>물리공정 없음</t>
        </is>
      </c>
      <c r="J22" s="66" t="inlineStr">
        <is>
          <t>2026-10</t>
        </is>
      </c>
      <c r="K22" s="66" t="inlineStr">
        <is>
          <t>Dexcel/Ignis 코드변환</t>
        </is>
      </c>
    </row>
    <row r="23" ht="15" customHeight="1" s="41">
      <c r="A23" s="65" t="inlineStr">
        <is>
          <t>T-D2</t>
        </is>
      </c>
      <c r="B23" s="66" t="inlineStr">
        <is>
          <t>(D) DP/SP 통관</t>
        </is>
      </c>
      <c r="C23" s="66" t="inlineStr">
        <is>
          <t>DP</t>
        </is>
      </c>
      <c r="D23" s="66" t="inlineStr">
        <is>
          <t>EU</t>
        </is>
      </c>
      <c r="E23" s="66" t="inlineStr">
        <is>
          <t>CA</t>
        </is>
      </c>
      <c r="F23" s="76" t="n">
        <v>0</v>
      </c>
      <c r="G23" s="77" t="inlineStr">
        <is>
          <t>0% (참조)</t>
        </is>
      </c>
      <c r="H23" s="67" t="inlineStr">
        <is>
          <t>코드변환</t>
        </is>
      </c>
      <c r="I23" s="66" t="inlineStr">
        <is>
          <t>2CNY005</t>
        </is>
      </c>
      <c r="J23" s="66" t="inlineStr">
        <is>
          <t>2026-10</t>
        </is>
      </c>
      <c r="K23" s="66" t="inlineStr">
        <is>
          <t>Knight 코드변환</t>
        </is>
      </c>
    </row>
    <row r="24" ht="15" customHeight="1" s="41">
      <c r="A24" s="65" t="inlineStr">
        <is>
          <t>T-D3</t>
        </is>
      </c>
      <c r="B24" s="66" t="inlineStr">
        <is>
          <t>(D) DP/SP 통관</t>
        </is>
      </c>
      <c r="C24" s="66" t="inlineStr">
        <is>
          <t>DP</t>
        </is>
      </c>
      <c r="D24" s="66" t="inlineStr">
        <is>
          <t>US</t>
        </is>
      </c>
      <c r="E24" s="66" t="inlineStr">
        <is>
          <t>US</t>
        </is>
      </c>
      <c r="F24" s="76" t="n">
        <v>0</v>
      </c>
      <c r="G24" s="77" t="inlineStr">
        <is>
          <t>0%</t>
        </is>
      </c>
      <c r="H24" s="66" t="inlineStr">
        <is>
          <t>-</t>
        </is>
      </c>
      <c r="I24" s="66" t="inlineStr">
        <is>
          <t>US 내 제조</t>
        </is>
      </c>
      <c r="J24" s="66" t="inlineStr">
        <is>
          <t>2026-10</t>
        </is>
      </c>
      <c r="K24" s="66" t="inlineStr">
        <is>
          <t>Avara DP</t>
        </is>
      </c>
    </row>
    <row r="25" ht="15" customHeight="1" s="41">
      <c r="A25" s="65" t="inlineStr">
        <is>
          <t>T-E1</t>
        </is>
      </c>
      <c r="B25" s="66" t="inlineStr">
        <is>
          <t>(E) FP→시장</t>
        </is>
      </c>
      <c r="C25" s="66" t="inlineStr">
        <is>
          <t>FP</t>
        </is>
      </c>
      <c r="D25" s="66" t="inlineStr">
        <is>
          <t>CA</t>
        </is>
      </c>
      <c r="E25" s="66" t="inlineStr">
        <is>
          <t>US</t>
        </is>
      </c>
      <c r="F25" s="76" t="n">
        <v>100</v>
      </c>
      <c r="G25" s="78" t="inlineStr">
        <is>
          <t>100%</t>
        </is>
      </c>
      <c r="H25" s="66" t="inlineStr">
        <is>
          <t>FP TP</t>
        </is>
      </c>
      <c r="I25" s="66" t="inlineStr">
        <is>
          <t>TP 과세표준</t>
        </is>
      </c>
      <c r="J25" s="66" t="inlineStr">
        <is>
          <t>2026-10</t>
        </is>
      </c>
      <c r="K25" s="66" t="inlineStr">
        <is>
          <t>★Patheon CA Bottle/Card→US</t>
        </is>
      </c>
    </row>
    <row r="26" ht="15" customHeight="1" s="41">
      <c r="A26" s="65" t="inlineStr">
        <is>
          <t>T-E2</t>
        </is>
      </c>
      <c r="B26" s="66" t="inlineStr">
        <is>
          <t>(E) FP→시장</t>
        </is>
      </c>
      <c r="C26" s="66" t="inlineStr">
        <is>
          <t>FP</t>
        </is>
      </c>
      <c r="D26" s="66" t="inlineStr">
        <is>
          <t>US</t>
        </is>
      </c>
      <c r="E26" s="66" t="inlineStr">
        <is>
          <t>US</t>
        </is>
      </c>
      <c r="F26" s="76" t="n">
        <v>0</v>
      </c>
      <c r="G26" s="77" t="inlineStr">
        <is>
          <t>0%</t>
        </is>
      </c>
      <c r="H26" s="66" t="inlineStr">
        <is>
          <t>-</t>
        </is>
      </c>
      <c r="I26" s="66" t="inlineStr">
        <is>
          <t>US 내 제조·포장</t>
        </is>
      </c>
      <c r="J26" s="66" t="inlineStr">
        <is>
          <t>2026-10</t>
        </is>
      </c>
      <c r="K26" s="66" t="inlineStr">
        <is>
          <t>PCI US Bottle (안전경로)</t>
        </is>
      </c>
    </row>
    <row r="27" ht="15" customHeight="1" s="41">
      <c r="A27" s="65" t="inlineStr">
        <is>
          <t>T-E3</t>
        </is>
      </c>
      <c r="B27" s="66" t="inlineStr">
        <is>
          <t>(E) FP→시장</t>
        </is>
      </c>
      <c r="C27" s="66" t="inlineStr">
        <is>
          <t>FP</t>
        </is>
      </c>
      <c r="D27" s="66" t="inlineStr">
        <is>
          <t>CA</t>
        </is>
      </c>
      <c r="E27" s="66" t="inlineStr">
        <is>
          <t>CA</t>
        </is>
      </c>
      <c r="F27" s="76" t="n">
        <v>0</v>
      </c>
      <c r="G27" s="77" t="inlineStr">
        <is>
          <t>0%</t>
        </is>
      </c>
      <c r="H27" s="66" t="inlineStr">
        <is>
          <t>-</t>
        </is>
      </c>
      <c r="I27" s="66" t="inlineStr">
        <is>
          <t>CA 내수</t>
        </is>
      </c>
      <c r="J27" s="66" t="inlineStr">
        <is>
          <t>2026-10</t>
        </is>
      </c>
      <c r="K27" s="66" t="inlineStr">
        <is>
          <t>Patheon/PCI CA→Knight</t>
        </is>
      </c>
    </row>
  </sheetData>
  <autoFilter ref="A1:K27"/>
  <dataValidations count="1">
    <dataValidation sqref="C2:C200" showDropDown="0" showInputMessage="0" showErrorMessage="0" allowBlank="1" type="list" errorStyle="stop" operator="between">
      <formula1>"RSM,API,DP,SP,FP"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L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0" min="1" max="1"/>
    <col width="18" customWidth="1" style="40" min="2" max="2"/>
    <col width="9" customWidth="1" style="40" min="3" max="3"/>
    <col width="13" customWidth="1" style="40" min="4" max="4"/>
    <col width="14" customWidth="1" style="40" min="5" max="6"/>
    <col width="12" customWidth="1" style="40" min="7" max="8"/>
    <col width="11" customWidth="1" style="40" min="9" max="10"/>
    <col width="12" customWidth="1" style="40" min="11" max="11"/>
    <col width="18" customWidth="1" style="40" min="12" max="12"/>
  </cols>
  <sheetData>
    <row r="1" ht="22.35" customHeight="1" s="41">
      <c r="A1" s="81" t="inlineStr">
        <is>
          <t>cmo_id</t>
        </is>
      </c>
      <c r="B1" s="81" t="inlineStr">
        <is>
          <t>cmo_name</t>
        </is>
      </c>
      <c r="C1" s="81" t="inlineStr">
        <is>
          <t>country</t>
        </is>
      </c>
      <c r="D1" s="81" t="inlineStr">
        <is>
          <t>rd_total</t>
        </is>
      </c>
      <c r="E1" s="81" t="inlineStr">
        <is>
          <t>prod_total</t>
        </is>
      </c>
      <c r="F1" s="81" t="inlineStr">
        <is>
          <t>overall_total</t>
        </is>
      </c>
      <c r="G1" s="81" t="inlineStr">
        <is>
          <t>capex</t>
        </is>
      </c>
      <c r="H1" s="81" t="inlineStr">
        <is>
          <t>lead_time_mo</t>
        </is>
      </c>
      <c r="I1" s="81" t="inlineStr">
        <is>
          <t>pv_scale_kg</t>
        </is>
      </c>
      <c r="J1" s="81" t="inlineStr">
        <is>
          <t>status</t>
        </is>
      </c>
      <c r="K1" s="81" t="inlineStr">
        <is>
          <t>source</t>
        </is>
      </c>
      <c r="L1" s="81" t="inlineStr">
        <is>
          <t>note</t>
        </is>
      </c>
    </row>
    <row r="2" ht="15" customHeight="1" s="41">
      <c r="A2" s="65" t="inlineStr">
        <is>
          <t>API-CAMBREX</t>
        </is>
      </c>
      <c r="B2" s="66" t="inlineStr">
        <is>
          <t>Cambrex</t>
        </is>
      </c>
      <c r="C2" s="66" t="inlineStr">
        <is>
          <t>US</t>
        </is>
      </c>
      <c r="D2" s="70" t="n">
        <v>1546600</v>
      </c>
      <c r="E2" s="70" t="n">
        <v>1821000</v>
      </c>
      <c r="F2" s="70" t="n">
        <v>9122000</v>
      </c>
      <c r="G2" s="70" t="n">
        <v>1507500</v>
      </c>
      <c r="H2" s="68" t="n">
        <v>16</v>
      </c>
      <c r="I2" s="68" t="n">
        <v>450</v>
      </c>
      <c r="J2" s="66" t="inlineStr">
        <is>
          <t>candidate</t>
        </is>
      </c>
      <c r="K2" s="66" t="inlineStr">
        <is>
          <t>RFP</t>
        </is>
      </c>
      <c r="L2" s="66" t="n"/>
    </row>
    <row r="3" ht="15" customHeight="1" s="41">
      <c r="A3" s="65" t="inlineStr">
        <is>
          <t>API-SKPT</t>
        </is>
      </c>
      <c r="B3" s="66" t="inlineStr">
        <is>
          <t>SKPT</t>
        </is>
      </c>
      <c r="C3" s="66" t="inlineStr">
        <is>
          <t>US</t>
        </is>
      </c>
      <c r="D3" s="70" t="n">
        <v>4032870</v>
      </c>
      <c r="E3" s="70" t="n">
        <v>7288930</v>
      </c>
      <c r="F3" s="70" t="n">
        <v>11321800</v>
      </c>
      <c r="G3" s="71" t="n"/>
      <c r="H3" s="68" t="n">
        <v>8</v>
      </c>
      <c r="I3" s="68" t="n">
        <v>500</v>
      </c>
      <c r="J3" s="66" t="inlineStr">
        <is>
          <t>candidate</t>
        </is>
      </c>
      <c r="K3" s="66" t="inlineStr">
        <is>
          <t>RFP</t>
        </is>
      </c>
      <c r="L3" s="66" t="n"/>
    </row>
    <row r="4" ht="15" customHeight="1" s="41">
      <c r="A4" s="65" t="inlineStr">
        <is>
          <t>API-PIRAMAL</t>
        </is>
      </c>
      <c r="B4" s="66" t="inlineStr">
        <is>
          <t>Piramal</t>
        </is>
      </c>
      <c r="C4" s="66" t="inlineStr">
        <is>
          <t>US</t>
        </is>
      </c>
      <c r="D4" s="70" t="n">
        <v>2295125</v>
      </c>
      <c r="E4" s="70" t="n">
        <v>4719750</v>
      </c>
      <c r="F4" s="70" t="n">
        <v>7014875</v>
      </c>
      <c r="G4" s="71" t="n"/>
      <c r="H4" s="68" t="n">
        <v>11</v>
      </c>
      <c r="I4" s="68" t="n">
        <v>240</v>
      </c>
      <c r="J4" s="66" t="inlineStr">
        <is>
          <t>candidate</t>
        </is>
      </c>
      <c r="K4" s="66" t="inlineStr">
        <is>
          <t>RFP v02</t>
        </is>
      </c>
      <c r="L4" s="66" t="inlineStr">
        <is>
          <t>India RSM 포함</t>
        </is>
      </c>
    </row>
    <row r="5" ht="15" customHeight="1" s="41">
      <c r="A5" s="65" t="inlineStr">
        <is>
          <t>API-CURIA</t>
        </is>
      </c>
      <c r="B5" s="66" t="inlineStr">
        <is>
          <t>Curia</t>
        </is>
      </c>
      <c r="C5" s="66" t="inlineStr">
        <is>
          <t>US</t>
        </is>
      </c>
      <c r="D5" s="70" t="n">
        <v>1546600</v>
      </c>
      <c r="E5" s="70" t="n">
        <v>1821000</v>
      </c>
      <c r="F5" s="70" t="n">
        <v>3367600</v>
      </c>
      <c r="G5" s="71" t="n"/>
      <c r="H5" s="68" t="n">
        <v>14</v>
      </c>
      <c r="I5" s="68" t="n">
        <v>500</v>
      </c>
      <c r="J5" s="66" t="inlineStr">
        <is>
          <t>no-go</t>
        </is>
      </c>
      <c r="K5" s="66" t="inlineStr">
        <is>
          <t>RFP</t>
        </is>
      </c>
      <c r="L5" s="66" t="inlineStr">
        <is>
          <t>FDA 483</t>
        </is>
      </c>
    </row>
    <row r="6" ht="15" customHeight="1" s="41">
      <c r="A6" s="65" t="inlineStr">
        <is>
          <t>API-SKBT</t>
        </is>
      </c>
      <c r="B6" s="66" t="inlineStr">
        <is>
          <t>SK biotek (SKBT)</t>
        </is>
      </c>
      <c r="C6" s="66" t="inlineStr">
        <is>
          <t>KR</t>
        </is>
      </c>
      <c r="D6" s="70" t="n">
        <v>0</v>
      </c>
      <c r="E6" s="70" t="n">
        <v>0</v>
      </c>
      <c r="F6" s="70" t="n">
        <v>0</v>
      </c>
      <c r="G6" s="71" t="n"/>
      <c r="H6" s="66" t="n"/>
      <c r="I6" s="66" t="n"/>
      <c r="J6" s="66" t="inlineStr">
        <is>
          <t>active</t>
        </is>
      </c>
      <c r="K6" s="67" t="inlineStr">
        <is>
          <t>기존</t>
        </is>
      </c>
      <c r="L6" s="67" t="inlineStr">
        <is>
          <t>기존 CMO — 도입비 $0</t>
        </is>
      </c>
    </row>
    <row r="7" ht="15" customHeight="1" s="41">
      <c r="A7" s="65" t="inlineStr">
        <is>
          <t>API-PORTON</t>
        </is>
      </c>
      <c r="B7" s="66" t="inlineStr">
        <is>
          <t>Porton</t>
        </is>
      </c>
      <c r="C7" s="66" t="inlineStr">
        <is>
          <t>CN</t>
        </is>
      </c>
      <c r="D7" s="71" t="n"/>
      <c r="E7" s="71" t="n"/>
      <c r="F7" s="70" t="n">
        <v>1385100</v>
      </c>
      <c r="G7" s="71" t="n"/>
      <c r="H7" s="66" t="n"/>
      <c r="I7" s="68" t="n">
        <v>300</v>
      </c>
      <c r="J7" s="66" t="inlineStr">
        <is>
          <t>benchmark</t>
        </is>
      </c>
      <c r="K7" s="66" t="inlineStr">
        <is>
          <t>2022 quote</t>
        </is>
      </c>
      <c r="L7" s="66" t="inlineStr">
        <is>
          <t>milling PV 미확보 / 추정</t>
        </is>
      </c>
    </row>
    <row r="9" ht="15" customHeight="1" s="41">
      <c r="A9" s="73" t="inlineStr">
        <is>
          <t>※ overall_total ≠ rd+prod (CAPEX·기타 포함). TCO = 5년 운영 COGS + overall_total. SKBT=0, Porton 미확보.</t>
        </is>
      </c>
    </row>
  </sheetData>
  <autoFilter ref="A1:L7"/>
  <dataValidations count="1">
    <dataValidation sqref="A2:A7" showDropDown="0" showInputMessage="0" showErrorMessage="0" allowBlank="1" type="list" errorStyle="stop" operator="between">
      <formula1>DIM_CMO!$A$2:$A$200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0" min="1" max="1"/>
    <col width="15" customWidth="1" style="40" min="2" max="8"/>
  </cols>
  <sheetData>
    <row r="1" ht="20.1" customHeight="1" s="41">
      <c r="A1" s="82" t="inlineStr">
        <is>
          <t>README — CMO 단가 데이터베이스 사용법</t>
        </is>
      </c>
    </row>
    <row r="3" ht="17.15" customHeight="1" s="41">
      <c r="A3" s="83" t="inlineStr">
        <is>
          <t>구조 (정규화 스키마)</t>
        </is>
      </c>
    </row>
    <row r="4" ht="15" customHeight="1" s="41">
      <c r="A4" s="84" t="inlineStr">
        <is>
          <t>DIM_CMO</t>
        </is>
      </c>
      <c r="B4" s="85" t="inlineStr">
        <is>
          <t>CMO 마스터(단일 출처). cmo_id가 기본키 — 모든 FACT 탭이 이 id로 연결.</t>
        </is>
      </c>
    </row>
    <row r="5" ht="15" customHeight="1" s="41">
      <c r="A5" s="84" t="inlineStr">
        <is>
          <t>FACT_RSM_Price</t>
        </is>
      </c>
      <c r="B5" s="85" t="inlineStr">
        <is>
          <t>RSM 물량·축별 단가. model_applied는 수식 자동계산.</t>
        </is>
      </c>
    </row>
    <row r="6" ht="15" customHeight="1" s="41">
      <c r="A6" s="84" t="inlineStr">
        <is>
          <t>FACT_API_Price</t>
        </is>
      </c>
      <c r="B6" s="85" t="inlineStr">
        <is>
          <t>API CMO별 제조비·RSM출처·관세 요약.</t>
        </is>
      </c>
    </row>
    <row r="7" ht="15" customHeight="1" s="41">
      <c r="A7" s="84" t="inlineStr">
        <is>
          <t>FACT_DP_Price / SP / FP</t>
        </is>
      </c>
      <c r="B7" s="85" t="inlineStr">
        <is>
          <t>DP(Tablet)·SP(Semi-FP)·FP(완제품) 단계별 단가.</t>
        </is>
      </c>
    </row>
    <row r="8" ht="15" customHeight="1" s="41">
      <c r="A8" s="84" t="inlineStr">
        <is>
          <t>FACT_Tariff</t>
        </is>
      </c>
      <c r="B8" s="86" t="inlineStr">
        <is>
          <t>공급망 전 구간 관세 시나리오(A~E). 별도 탭.</t>
        </is>
      </c>
    </row>
    <row r="9" ht="15" customHeight="1" s="41">
      <c r="A9" s="84" t="inlineStr">
        <is>
          <t>FACT_IntroCost</t>
        </is>
      </c>
      <c r="B9" s="85" t="inlineStr">
        <is>
          <t>US onshoring 도입비용(one-time). 별도 탭.</t>
        </is>
      </c>
    </row>
    <row r="11" ht="17.15" customHeight="1" s="41">
      <c r="A11" s="83" t="inlineStr">
        <is>
          <t>데이터 추가/변경 방법</t>
        </is>
      </c>
    </row>
    <row r="12" ht="15" customHeight="1" s="41">
      <c r="A12" s="84" t="inlineStr">
        <is>
          <t>CMO 추가</t>
        </is>
      </c>
      <c r="B12" s="85" t="inlineStr">
        <is>
          <t>① DIM_CMO에 행 추가(cmo_id 부여) → ② 해당 FACT 탭에 cmo_id로 단가 행 추가. cmo_id 셀은 드롭다운으로 검증.</t>
        </is>
      </c>
    </row>
    <row r="13" ht="15" customHeight="1" s="41">
      <c r="A13" s="87" t="inlineStr">
        <is>
          <t>단가 변경</t>
        </is>
      </c>
      <c r="B13" s="86" t="inlineStr">
        <is>
          <t>해당 FACT 셀 수정 + effective(분기)·source 갱신. 이력 보존하려면 새 행 추가 후 기존 effective를 과거로 표기.</t>
        </is>
      </c>
    </row>
    <row r="14" ht="15" customHeight="1" s="41">
      <c r="A14" s="87" t="inlineStr">
        <is>
          <t>관세 변경</t>
        </is>
      </c>
      <c r="B14" s="85" t="inlineStr">
        <is>
          <t>FACT_Tariff에서 rate_pct 수정 → rate_display·근거 함께 갱신.</t>
        </is>
      </c>
    </row>
    <row r="15" ht="15" customHeight="1" s="41">
      <c r="A15" s="87" t="inlineStr">
        <is>
          <t>검증</t>
        </is>
      </c>
      <c r="B15" s="85" t="inlineStr">
        <is>
          <t>country/stage/status/axis/cmo_id 열은 드롭다운 적용 — 오타·비정합 방지.</t>
        </is>
      </c>
    </row>
    <row r="17" ht="17.15" customHeight="1" s="41">
      <c r="A17" s="83" t="inlineStr">
        <is>
          <t>권장 운영 방식 &amp; 확장 경로</t>
        </is>
      </c>
    </row>
    <row r="18" ht="15" customHeight="1" s="41">
      <c r="A18" s="84" t="inlineStr">
        <is>
          <t>① (현재) Excel-as-DB</t>
        </is>
      </c>
      <c r="B18" s="86" t="inlineStr">
        <is>
          <t>지금 구조. 추가 인프라 0, 익숙한 Excel에서 편집·필터·검증. 소규모 팀에 최적.</t>
        </is>
      </c>
    </row>
    <row r="19" ht="15" customHeight="1" s="41">
      <c r="A19" s="84" t="inlineStr">
        <is>
          <t>② SQLite (단일파일 DB)</t>
        </is>
      </c>
      <c r="B19" s="86" t="inlineStr">
        <is>
          <t>행 무결성·SQL 질의·관계 강제 필요 시. DB Browser for SQLite로 GUI 편집. 여전히 단일 파일·서버리스.</t>
        </is>
      </c>
    </row>
    <row r="20" ht="15" customHeight="1" s="41">
      <c r="A20" s="84" t="inlineStr">
        <is>
          <t>③ Airtable / Notion DB</t>
        </is>
      </c>
      <c r="B20" s="86" t="inlineStr">
        <is>
          <t>다중 사용자 동시편집·웹폼·API·변경이력 필요 시. 클라우드(구독). 관계형 링크·뷰 강력.</t>
        </is>
      </c>
    </row>
    <row r="21" ht="15" customHeight="1" s="41">
      <c r="A21" s="87" t="inlineStr">
        <is>
          <t>연결</t>
        </is>
      </c>
      <c r="B21" s="86" t="inlineStr">
        <is>
          <t>어느 방식이든 Cockpit(HTML)이 JSON으로 import 가능 — 단일 출처→모델 자동 반영 파이프라인 권장.</t>
        </is>
      </c>
    </row>
  </sheetData>
  <mergeCells count="18">
    <mergeCell ref="B14:H14"/>
    <mergeCell ref="B8:H8"/>
    <mergeCell ref="A3:H3"/>
    <mergeCell ref="B9:H9"/>
    <mergeCell ref="B13:H13"/>
    <mergeCell ref="B18:H18"/>
    <mergeCell ref="B4:H4"/>
    <mergeCell ref="B21:H21"/>
    <mergeCell ref="B5:H5"/>
    <mergeCell ref="B12:H12"/>
    <mergeCell ref="B6:H6"/>
    <mergeCell ref="A11:H11"/>
    <mergeCell ref="B15:H15"/>
    <mergeCell ref="B7:H7"/>
    <mergeCell ref="A1:H1"/>
    <mergeCell ref="B19:H19"/>
    <mergeCell ref="B20:H20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2026-06-16T04:47:48Z</dcterms:created>
  <dcterms:modified xmlns:dcterms="http://purl.org/dc/terms/" xmlns:xsi="http://www.w3.org/2001/XMLSchema-instance" xsi:type="dcterms:W3CDTF">2026-06-19T08:59:10Z</dcterms:modified>
  <cp:revision>0</cp:revision>
</cp:coreProperties>
</file>